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 Dashboard" sheetId="2" state="visible" r:id="rId4"/>
    <sheet name="Purchase Register" sheetId="3" state="visible" r:id="rId5"/>
    <sheet name="GSTR-2B" sheetId="4" state="visible" r:id="rId6"/>
    <sheet name="Reconcili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<sst xmlns="http://schemas.openxmlformats.org/spreadsheetml/2006/main" count="291" uniqueCount="125">
  <si>
    <t xml:space="preserve">GST Purchase Reconciliation Tool</t>
  </si>
  <si>
    <t xml:space="preserve">Matches the Purchase Register (books of account) against GSTR-2B to identify ITC mismatches</t>
  </si>
  <si>
    <t xml:space="preserve">Purpose</t>
  </si>
  <si>
    <t xml:space="preserve">Reconciles Input Tax Credit (ITC) claimed in the books against ITC reflected in GSTR-2B, so mismatches can be identified and followed up with suppliers before filing GSTR-3B.</t>
  </si>
  <si>
    <t xml:space="preserve">How to Use</t>
  </si>
  <si>
    <t xml:space="preserve">1. Enter/paste purchase invoices in the 'Purchase Register' tab (blue cells are inputs).</t>
  </si>
  <si>
    <t xml:space="preserve">2. Enter/paste the GSTR-2B download in the 'GSTR-2B' tab (blue cells are inputs).</t>
  </si>
  <si>
    <t xml:space="preserve">3. The 'Reconciliation' tab auto-matches invoices by Invoice No. and flags status.</t>
  </si>
  <si>
    <t xml:space="preserve">4. Review the 'Summary Dashboard' tab for totals, match rate and charts.</t>
  </si>
  <si>
    <t xml:space="preserve">5. Chase suppliers for invoices flagged 'Missing in 2B' or 'Amount Mismatch'.</t>
  </si>
  <si>
    <t xml:space="preserve">Assumptions</t>
  </si>
  <si>
    <t xml:space="preserve">Standard GST rate (combined)</t>
  </si>
  <si>
    <t xml:space="preserve">Intra-state = CGST 9% + SGST 9%. Inter-state = IGST 18%.</t>
  </si>
  <si>
    <t xml:space="preserve">Data period</t>
  </si>
  <si>
    <t xml:space="preserve">Jun 2026 - Aug 2026</t>
  </si>
  <si>
    <t xml:space="preserve">Sample / illustrative data for demonstration purposes.</t>
  </si>
  <si>
    <t xml:space="preserve">Data source</t>
  </si>
  <si>
    <t xml:space="preserve">Mock data</t>
  </si>
  <si>
    <t xml:space="preserve">Built by Arun Bennalli as a portfolio project — not real transaction data.</t>
  </si>
  <si>
    <t xml:space="preserve">Colour Legend</t>
  </si>
  <si>
    <t xml:space="preserve">Blue text</t>
  </si>
  <si>
    <t xml:space="preserve">Hardcoded input / mock data entered by user</t>
  </si>
  <si>
    <t xml:space="preserve">Black text</t>
  </si>
  <si>
    <t xml:space="preserve">Formula — calculated automatically, do not overtype</t>
  </si>
  <si>
    <t xml:space="preserve">Green text</t>
  </si>
  <si>
    <t xml:space="preserve">Link pulling a value from another sheet</t>
  </si>
  <si>
    <t xml:space="preserve">Yellow fill</t>
  </si>
  <si>
    <t xml:space="preserve">Key assumption / editable input cell</t>
  </si>
  <si>
    <t xml:space="preserve">Red fill</t>
  </si>
  <si>
    <t xml:space="preserve">Mismatch or item needing follow-up</t>
  </si>
  <si>
    <t xml:space="preserve">Green fill</t>
  </si>
  <si>
    <t xml:space="preserve">Matched / reconciled item</t>
  </si>
  <si>
    <t xml:space="preserve">GST Reconciliation — Summary Dashboard</t>
  </si>
  <si>
    <t xml:space="preserve">Purchase Register vs GSTR-2B, period Jun-Aug 2026</t>
  </si>
  <si>
    <t xml:space="preserve">Total Invoices (Books)</t>
  </si>
  <si>
    <t xml:space="preserve">Matched Invoices</t>
  </si>
  <si>
    <t xml:space="preserve">Missing in 2B</t>
  </si>
  <si>
    <t xml:space="preserve">Amount Mismatches</t>
  </si>
  <si>
    <t xml:space="preserve">Match Rate</t>
  </si>
  <si>
    <t xml:space="preserve">Duplicate Filings in 2B</t>
  </si>
  <si>
    <t xml:space="preserve">ITC Value Reconciliation</t>
  </si>
  <si>
    <t xml:space="preserve">Total ITC as per Books</t>
  </si>
  <si>
    <t xml:space="preserve">Total ITC as per GSTR-2B (matched invoices)</t>
  </si>
  <si>
    <t xml:space="preserve">Net ITC Variance (Books - 2B)</t>
  </si>
  <si>
    <t xml:space="preserve">Additional ITC available in 2B (not yet in books)</t>
  </si>
  <si>
    <t xml:space="preserve">Status Breakdown</t>
  </si>
  <si>
    <t xml:space="preserve">ITC: Books vs GSTR-2B</t>
  </si>
  <si>
    <t xml:space="preserve">Status</t>
  </si>
  <si>
    <t xml:space="preserve">Count</t>
  </si>
  <si>
    <t xml:space="preserve">Source</t>
  </si>
  <si>
    <t xml:space="preserve">ITC (Rs.)</t>
  </si>
  <si>
    <t xml:space="preserve">Matched</t>
  </si>
  <si>
    <t xml:space="preserve">As per Books</t>
  </si>
  <si>
    <t xml:space="preserve">As per GSTR-2B</t>
  </si>
  <si>
    <t xml:space="preserve">Amount Mismatch</t>
  </si>
  <si>
    <t xml:space="preserve">S.No</t>
  </si>
  <si>
    <t xml:space="preserve">Invoice No.</t>
  </si>
  <si>
    <t xml:space="preserve">Supplier Name</t>
  </si>
  <si>
    <t xml:space="preserve">Supplier GSTIN</t>
  </si>
  <si>
    <t xml:space="preserve">Invoice Date</t>
  </si>
  <si>
    <t xml:space="preserve">Supply Type</t>
  </si>
  <si>
    <t xml:space="preserve">Taxable Value (Rs.)</t>
  </si>
  <si>
    <t xml:space="preserve">CGST (Rs.)</t>
  </si>
  <si>
    <t xml:space="preserve">SGST (Rs.)</t>
  </si>
  <si>
    <t xml:space="preserve">IGST (Rs.)</t>
  </si>
  <si>
    <t xml:space="preserve">Total Tax (Rs.)</t>
  </si>
  <si>
    <t xml:space="preserve">Total Invoice Value (Rs.)</t>
  </si>
  <si>
    <t xml:space="preserve">INV-1001</t>
  </si>
  <si>
    <t xml:space="preserve">Shree Enterprises</t>
  </si>
  <si>
    <t xml:space="preserve">29AATFS1234A1Z5</t>
  </si>
  <si>
    <t xml:space="preserve">Intra-state</t>
  </si>
  <si>
    <t xml:space="preserve">INV-1002</t>
  </si>
  <si>
    <t xml:space="preserve">Om Traders</t>
  </si>
  <si>
    <t xml:space="preserve">29AABCO5678B1Z2</t>
  </si>
  <si>
    <t xml:space="preserve">INV-1003</t>
  </si>
  <si>
    <t xml:space="preserve">Bangalore Steel Corp</t>
  </si>
  <si>
    <t xml:space="preserve">29AAECB4321C1Z9</t>
  </si>
  <si>
    <t xml:space="preserve">INV-1004</t>
  </si>
  <si>
    <t xml:space="preserve">Karnataka Packaging Co</t>
  </si>
  <si>
    <t xml:space="preserve">29AACK8765D1Z3</t>
  </si>
  <si>
    <t xml:space="preserve">INV-1005</t>
  </si>
  <si>
    <t xml:space="preserve">Sunrise Textiles</t>
  </si>
  <si>
    <t xml:space="preserve">29AADST3456E1Z7</t>
  </si>
  <si>
    <t xml:space="preserve">INV-1006</t>
  </si>
  <si>
    <t xml:space="preserve">Delhi Electronics Pvt Ltd</t>
  </si>
  <si>
    <t xml:space="preserve">07AABCD1234F1Z1</t>
  </si>
  <si>
    <t xml:space="preserve">Inter-state</t>
  </si>
  <si>
    <t xml:space="preserve">INV-1007</t>
  </si>
  <si>
    <t xml:space="preserve">Mumbai Chemicals Ltd</t>
  </si>
  <si>
    <t xml:space="preserve">27AAACM5678G1Z4</t>
  </si>
  <si>
    <t xml:space="preserve">INV-1008</t>
  </si>
  <si>
    <t xml:space="preserve">Chennai Auto Parts</t>
  </si>
  <si>
    <t xml:space="preserve">33AADCC9012H1Z6</t>
  </si>
  <si>
    <t xml:space="preserve">INV-1009</t>
  </si>
  <si>
    <t xml:space="preserve">Hyderabad Pharma Supplies</t>
  </si>
  <si>
    <t xml:space="preserve">36AABHP3456I1Z8</t>
  </si>
  <si>
    <t xml:space="preserve">INV-1010</t>
  </si>
  <si>
    <t xml:space="preserve">Kolkata Jute Mills</t>
  </si>
  <si>
    <t xml:space="preserve">19AABKJ7890J1Z0</t>
  </si>
  <si>
    <t xml:space="preserve">INV-1011</t>
  </si>
  <si>
    <t xml:space="preserve">INV-1012</t>
  </si>
  <si>
    <t xml:space="preserve">INV-1013</t>
  </si>
  <si>
    <t xml:space="preserve">INV-1014</t>
  </si>
  <si>
    <t xml:space="preserve">INV-1015</t>
  </si>
  <si>
    <t xml:space="preserve">INV-1016</t>
  </si>
  <si>
    <t xml:space="preserve">INV-1017</t>
  </si>
  <si>
    <t xml:space="preserve">INV-1018</t>
  </si>
  <si>
    <t xml:space="preserve">INV-1019</t>
  </si>
  <si>
    <t xml:space="preserve">INV-1020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</si>
  <si>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</si>
  <si>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</si>
  <si>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</si>
  <si>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</si>
  <si>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</si>
  <si>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TOTAL</t>
  </si>
  <si>
    <t xml:space="preserve">Found in Books?</t>
  </si>
  <si>
    <t xml:space="preserve">Remarks</t>
  </si>
  <si>
    <t xml:space="preserve">INV-1099</t>
  </si>
  <si>
    <t xml:space="preserve">Taxable Value - Books (Rs.)</t>
  </si>
  <si>
    <t xml:space="preserve">ITC as per Books (Rs.)</t>
  </si>
  <si>
    <t xml:space="preserve">Found in 2B?</t>
  </si>
  <si>
    <t xml:space="preserve">Taxable Value - GSTR-2B (Rs.)</t>
  </si>
  <si>
    <t xml:space="preserve">ITC as per GSTR-2B (Rs.)</t>
  </si>
  <si>
    <t xml:space="preserve">ITC Variance (Rs.)</t>
  </si>
  <si>
    <t xml:space="preserve">Note: invoices present in GSTR-2B but missing from the Purchase Register (extra ITC available) and duplicate supplier filings are flagged on the 'GSTR-2B' tab, Remarks column.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</si>
</sst>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"/>
    <numFmt numFmtId="167" formatCode="dd\-mmm\-yyyy"/>
    <numFmt numFmtId="168" formatCode="General"/>
    <numFmt numFmtId="169" formatCode="#,##0;\(#,##0\)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EB9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Invoice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Dashboard'!C23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Dashboard'!$B$24:$B$26</c:f>
              <c:strCache>
                <c:ptCount val="3"/>
                <c:pt idx="0">
                  <c:v>Matched</c:v>
                </c:pt>
                <c:pt idx="1">
                  <c:v>Missing in 2B</c:v>
                </c:pt>
                <c:pt idx="2">
                  <c:v>Amount Mismatch</c:v>
                </c:pt>
              </c:strCache>
            </c:strRef>
          </c:cat>
          <c:val>
            <c:numRef>
              <c:f>'Summary Dashboard'!$C$24:$C$26</c:f>
              <c:numCache>
                <c:formatCode>General</c:formatCode>
                <c:ptCount val="3"/>
                <c:pt idx="0">
                  <c:v>20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52588199"/>
        <c:axId val="33840959"/>
      </c:barChart>
      <c:catAx>
        <c:axId val="52588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40959"/>
        <c:crosses val="autoZero"/>
        <c:auto val="1"/>
        <c:lblAlgn val="ctr"/>
        <c:lblOffset val="100"/>
        <c:noMultiLvlLbl val="0"/>
      </c:catAx>
      <c:valAx>
        <c:axId val="33840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Invoices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88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ITC as per Books vs GSTR-2B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Dashboard'!F23</c:f>
              <c:strCache>
                <c:ptCount val="1"/>
                <c:pt idx="0">
                  <c:v>ITC (Rs.)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Dashboard'!$E$24:$E$25</c:f>
              <c:strCache>
                <c:ptCount val="2"/>
                <c:pt idx="0">
                  <c:v>As per Books</c:v>
                </c:pt>
                <c:pt idx="1">
                  <c:v>As per GSTR-2B</c:v>
                </c:pt>
              </c:strCache>
            </c:strRef>
          </c:cat>
          <c:val>
            <c:numRef>
              <c:f>'Summary Dashboard'!$F$24:$F$25</c:f>
              <c:numCache>
                <c:formatCode>#,##0</c:formatCode>
                <c:ptCount val="2"/>
                <c:pt idx="0">
                  <c:v>526725</c:v>
                </c:pt>
                <c:pt idx="1">
                  <c:v>464166</c:v>
                </c:pt>
              </c:numCache>
            </c:numRef>
          </c:val>
        </c:ser>
        <c:gapWidth val="150"/>
        <c:overlap val="0"/>
        <c:axId val="48254864"/>
        <c:axId val="2252838"/>
      </c:barChart>
      <c:catAx>
        <c:axId val="482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2838"/>
        <c:crosses val="autoZero"/>
        <c:auto val="1"/>
        <c:lblAlgn val="ctr"/>
        <c:lblOffset val="100"/>
        <c:noMultiLvlLbl val="0"/>
      </c:catAx>
      <c:valAx>
        <c:axId val="2252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548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130680</xdr:rowOff>
    </xdr:from>
    <xdr:to>
      <xdr:col>4</xdr:col>
      <xdr:colOff>318240</xdr:colOff>
      <xdr:row>40</xdr:row>
      <xdr:rowOff>173880</xdr:rowOff>
    </xdr:to>
    <xdr:graphicFrame>
      <xdr:nvGraphicFramePr>
        <xdr:cNvPr id="0" name="Chart 1"/>
        <xdr:cNvGraphicFramePr/>
      </xdr:nvGraphicFramePr>
      <xdr:xfrm>
        <a:off x="211320" y="5848200"/>
        <a:ext cx="34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27</xdr:row>
      <xdr:rowOff>130680</xdr:rowOff>
    </xdr:from>
    <xdr:to>
      <xdr:col>7</xdr:col>
      <xdr:colOff>318240</xdr:colOff>
      <xdr:row>40</xdr:row>
      <xdr:rowOff>173880</xdr:rowOff>
    </xdr:to>
    <xdr:graphicFrame>
      <xdr:nvGraphicFramePr>
        <xdr:cNvPr id="1" name="Chart 2"/>
        <xdr:cNvGraphicFramePr/>
      </xdr:nvGraphicFramePr>
      <xdr:xfrm>
        <a:off x="3312720" y="5848200"/>
        <a:ext cx="34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4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9.75" hidden="false" customHeight="true" outlineLevel="0" collapsed="false">
      <c r="B6" s="4" t="s">
        <v>3</v>
      </c>
      <c r="C6" s="4"/>
      <c r="D6" s="4"/>
    </row>
    <row r="8" customFormat="false" ht="15" hidden="false" customHeight="false" outlineLevel="0" collapsed="false">
      <c r="B8" s="3" t="s">
        <v>4</v>
      </c>
    </row>
    <row r="9" customFormat="false" ht="15" hidden="false" customHeight="true" outlineLevel="0" collapsed="false">
      <c r="B9" s="5" t="s">
        <v>5</v>
      </c>
      <c r="C9" s="5"/>
      <c r="D9" s="5"/>
    </row>
    <row r="10" customFormat="false" ht="15" hidden="false" customHeight="true" outlineLevel="0" collapsed="false">
      <c r="B10" s="5" t="s">
        <v>6</v>
      </c>
      <c r="C10" s="5"/>
      <c r="D10" s="5"/>
    </row>
    <row r="11" customFormat="false" ht="15" hidden="false" customHeight="true" outlineLevel="0" collapsed="false">
      <c r="B11" s="5" t="s">
        <v>7</v>
      </c>
      <c r="C11" s="5"/>
      <c r="D11" s="5"/>
    </row>
    <row r="12" customFormat="false" ht="15" hidden="false" customHeight="true" outlineLevel="0" collapsed="false">
      <c r="B12" s="5" t="s">
        <v>8</v>
      </c>
      <c r="C12" s="5"/>
      <c r="D12" s="5"/>
    </row>
    <row r="13" customFormat="false" ht="15" hidden="false" customHeight="true" outlineLevel="0" collapsed="false">
      <c r="B13" s="5" t="s">
        <v>9</v>
      </c>
      <c r="C13" s="5"/>
      <c r="D13" s="5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0" t="s">
        <v>11</v>
      </c>
      <c r="C16" s="6" t="n">
        <v>0.18</v>
      </c>
      <c r="D16" s="7" t="s">
        <v>12</v>
      </c>
    </row>
    <row r="17" customFormat="false" ht="15" hidden="false" customHeight="false" outlineLevel="0" collapsed="false">
      <c r="B17" s="0" t="s">
        <v>13</v>
      </c>
      <c r="C17" s="8" t="s">
        <v>14</v>
      </c>
      <c r="D17" s="7" t="s">
        <v>15</v>
      </c>
    </row>
    <row r="18" customFormat="false" ht="15" hidden="false" customHeight="false" outlineLevel="0" collapsed="false">
      <c r="B18" s="0" t="s">
        <v>16</v>
      </c>
      <c r="C18" s="8" t="s">
        <v>17</v>
      </c>
      <c r="D18" s="7" t="s">
        <v>18</v>
      </c>
    </row>
    <row r="20" customFormat="false" ht="15" hidden="false" customHeight="false" outlineLevel="0" collapsed="false">
      <c r="B20" s="3" t="s">
        <v>19</v>
      </c>
    </row>
    <row r="21" customFormat="false" ht="15" hidden="false" customHeight="true" outlineLevel="0" collapsed="false">
      <c r="B21" s="8" t="s">
        <v>20</v>
      </c>
      <c r="C21" s="5" t="s">
        <v>21</v>
      </c>
      <c r="D21" s="5"/>
    </row>
    <row r="22" customFormat="false" ht="15" hidden="false" customHeight="true" outlineLevel="0" collapsed="false">
      <c r="B22" s="9" t="s">
        <v>22</v>
      </c>
      <c r="C22" s="5" t="s">
        <v>23</v>
      </c>
      <c r="D22" s="5"/>
    </row>
    <row r="23" customFormat="false" ht="15" hidden="false" customHeight="true" outlineLevel="0" collapsed="false">
      <c r="B23" s="10" t="s">
        <v>24</v>
      </c>
      <c r="C23" s="5" t="s">
        <v>25</v>
      </c>
      <c r="D23" s="5"/>
    </row>
    <row r="24" customFormat="false" ht="15" hidden="false" customHeight="true" outlineLevel="0" collapsed="false">
      <c r="B24" s="11" t="s">
        <v>26</v>
      </c>
      <c r="C24" s="5" t="s">
        <v>27</v>
      </c>
      <c r="D24" s="5"/>
    </row>
    <row r="25" customFormat="false" ht="15" hidden="false" customHeight="true" outlineLevel="0" collapsed="false">
      <c r="B25" s="12" t="s">
        <v>28</v>
      </c>
      <c r="C25" s="5" t="s">
        <v>29</v>
      </c>
      <c r="D25" s="5"/>
    </row>
    <row r="26" customFormat="false" ht="15" hidden="false" customHeight="true" outlineLevel="0" collapsed="false">
      <c r="B26" s="13" t="s">
        <v>30</v>
      </c>
      <c r="C26" s="5" t="s">
        <v>31</v>
      </c>
      <c r="D26" s="5"/>
    </row>
  </sheetData>
  <mergeCells count="12">
    <mergeCell ref="B6:D6"/>
    <mergeCell ref="B9:D9"/>
    <mergeCell ref="B10:D10"/>
    <mergeCell ref="B11:D11"/>
    <mergeCell ref="B12:D12"/>
    <mergeCell ref="B13:D13"/>
    <mergeCell ref="C21:D21"/>
    <mergeCell ref="C22:D22"/>
    <mergeCell ref="C23:D23"/>
    <mergeCell ref="C24:D24"/>
    <mergeCell ref="C25:D25"/>
    <mergeCell ref="C26:D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4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8" hidden="false" customHeight="true" outlineLevel="0" collapsed="false">
      <c r="B5" s="14" t="s">
        <v>34</v>
      </c>
      <c r="C5" s="14"/>
      <c r="E5" s="14" t="s">
        <v>35</v>
      </c>
      <c r="F5" s="14"/>
    </row>
    <row r="6" customFormat="false" ht="25.5" hidden="false" customHeight="true" outlineLevel="0" collapsed="false">
      <c r="B6" s="15" t="n">
        <f aca="false">COUNTA('Purchase Register'!B2:B26)</f>
        <v>25</v>
      </c>
      <c r="C6" s="15"/>
      <c r="E6" s="16" t="n">
        <f aca="false">COUNTIF(Reconciliation!J2:J26,"Matched")</f>
        <v>20</v>
      </c>
      <c r="F6" s="16"/>
    </row>
    <row r="8" customFormat="false" ht="18" hidden="false" customHeight="true" outlineLevel="0" collapsed="false">
      <c r="B8" s="14" t="s">
        <v>36</v>
      </c>
      <c r="C8" s="14"/>
      <c r="E8" s="14" t="s">
        <v>37</v>
      </c>
      <c r="F8" s="14"/>
    </row>
    <row r="9" customFormat="false" ht="25.5" hidden="false" customHeight="true" outlineLevel="0" collapsed="false">
      <c r="B9" s="17" t="n">
        <f aca="false">COUNTIF(Reconciliation!J2:J26,"Missing in 2B")</f>
        <v>3</v>
      </c>
      <c r="C9" s="17"/>
      <c r="E9" s="18" t="n">
        <f aca="false">COUNTIF(Reconciliation!J2:J26,"Amount Mismatch")</f>
        <v>2</v>
      </c>
      <c r="F9" s="18"/>
    </row>
    <row r="11" customFormat="false" ht="18" hidden="false" customHeight="true" outlineLevel="0" collapsed="false">
      <c r="B11" s="14" t="s">
        <v>38</v>
      </c>
      <c r="C11" s="14"/>
      <c r="E11" s="14" t="s">
        <v>39</v>
      </c>
      <c r="F11" s="14"/>
    </row>
    <row r="12" customFormat="false" ht="25.5" hidden="false" customHeight="true" outlineLevel="0" collapsed="false">
      <c r="B12" s="19" t="n">
        <f aca="false">E6/B6</f>
        <v>0.8</v>
      </c>
      <c r="C12" s="19"/>
      <c r="E12" s="18" t="n">
        <f aca="false">COUNTIF('GSTR-2B'!N2:N25,"Duplicate filing")</f>
        <v>2</v>
      </c>
      <c r="F12" s="18"/>
    </row>
    <row r="14" customFormat="false" ht="15" hidden="false" customHeight="false" outlineLevel="0" collapsed="false">
      <c r="B14" s="3" t="s">
        <v>40</v>
      </c>
    </row>
    <row r="15" customFormat="false" ht="15" hidden="false" customHeight="false" outlineLevel="0" collapsed="false">
      <c r="B15" s="20" t="s">
        <v>41</v>
      </c>
      <c r="C15" s="21" t="n">
        <f aca="false">SUM(Reconciliation!E2:E26)</f>
        <v>526725</v>
      </c>
    </row>
    <row r="16" customFormat="false" ht="15" hidden="false" customHeight="false" outlineLevel="0" collapsed="false">
      <c r="B16" s="20" t="s">
        <v>42</v>
      </c>
      <c r="C16" s="21" t="n">
        <f aca="false">SUM(Reconciliation!H2:H26)</f>
        <v>464166</v>
      </c>
    </row>
    <row r="17" customFormat="false" ht="15" hidden="false" customHeight="false" outlineLevel="0" collapsed="false">
      <c r="B17" s="20" t="s">
        <v>43</v>
      </c>
      <c r="C17" s="22" t="n">
        <f aca="false">C15-C16</f>
        <v>62559</v>
      </c>
    </row>
    <row r="18" customFormat="false" ht="15" hidden="false" customHeight="false" outlineLevel="0" collapsed="false">
      <c r="B18" s="20" t="s">
        <v>44</v>
      </c>
      <c r="C18" s="23" t="n">
        <f aca="false">SUMIF('GSTR-2B'!N2:N25,"Not in Purchase Register",'GSTR-2B'!K2:K25)</f>
        <v>7650</v>
      </c>
    </row>
    <row r="22" customFormat="false" ht="15" hidden="false" customHeight="false" outlineLevel="0" collapsed="false">
      <c r="B22" s="3" t="s">
        <v>45</v>
      </c>
      <c r="E22" s="3" t="s">
        <v>46</v>
      </c>
    </row>
    <row r="23" customFormat="false" ht="15" hidden="false" customHeight="false" outlineLevel="0" collapsed="false">
      <c r="B23" s="24" t="s">
        <v>47</v>
      </c>
      <c r="C23" s="24" t="s">
        <v>48</v>
      </c>
      <c r="E23" s="24" t="s">
        <v>49</v>
      </c>
      <c r="F23" s="24" t="s">
        <v>50</v>
      </c>
    </row>
    <row r="24" customFormat="false" ht="15" hidden="false" customHeight="false" outlineLevel="0" collapsed="false">
      <c r="B24" s="0" t="s">
        <v>51</v>
      </c>
      <c r="C24" s="0" t="n">
        <f aca="false">COUNTIF(Reconciliation!J2:J26,"Matched")</f>
        <v>20</v>
      </c>
      <c r="E24" s="0" t="s">
        <v>52</v>
      </c>
      <c r="F24" s="25" t="n">
        <f aca="false">C15</f>
        <v>526725</v>
      </c>
    </row>
    <row r="25" customFormat="false" ht="15" hidden="false" customHeight="false" outlineLevel="0" collapsed="false">
      <c r="B25" s="0" t="s">
        <v>36</v>
      </c>
      <c r="C25" s="0" t="n">
        <f aca="false">COUNTIF(Reconciliation!J2:J26,"Missing in 2B")</f>
        <v>3</v>
      </c>
      <c r="E25" s="0" t="s">
        <v>53</v>
      </c>
      <c r="F25" s="25" t="n">
        <f aca="false">C16</f>
        <v>464166</v>
      </c>
    </row>
    <row r="26" customFormat="false" ht="15" hidden="false" customHeight="false" outlineLevel="0" collapsed="false">
      <c r="B26" s="0" t="s">
        <v>54</v>
      </c>
      <c r="C26" s="0" t="n">
        <f aca="false">COUNTIF(Reconciliation!J2:J26,"Amount Mismatch")</f>
        <v>2</v>
      </c>
    </row>
  </sheetData>
  <mergeCells count="12">
    <mergeCell ref="B5:C5"/>
    <mergeCell ref="E5:F5"/>
    <mergeCell ref="B6:C6"/>
    <mergeCell ref="E6:F6"/>
    <mergeCell ref="B8:C8"/>
    <mergeCell ref="E8:F8"/>
    <mergeCell ref="B9:C9"/>
    <mergeCell ref="E9:F9"/>
    <mergeCell ref="B11:C11"/>
    <mergeCell ref="E11:F11"/>
    <mergeCell ref="B12:C12"/>
    <mergeCell ref="E12:F1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26" t="s">
        <v>55</v>
      </c>
      <c r="B1" s="26" t="s">
        <v>56</v>
      </c>
      <c r="C1" s="26" t="s">
        <v>57</v>
      </c>
      <c r="D1" s="26" t="s">
        <v>58</v>
      </c>
      <c r="E1" s="26" t="s">
        <v>59</v>
      </c>
      <c r="F1" s="26" t="s">
        <v>60</v>
      </c>
      <c r="G1" s="26" t="s">
        <v>61</v>
      </c>
      <c r="H1" s="26" t="s">
        <v>62</v>
      </c>
      <c r="I1" s="26" t="s">
        <v>63</v>
      </c>
      <c r="J1" s="26" t="s">
        <v>64</v>
      </c>
      <c r="K1" s="26" t="s">
        <v>65</v>
      </c>
      <c r="L1" s="26" t="s">
        <v>66</v>
      </c>
    </row>
    <row r="2" customFormat="false" ht="15" hidden="false" customHeight="false" outlineLevel="0" collapsed="false">
      <c r="A2" s="27" t="n">
        <v>1</v>
      </c>
      <c r="B2" s="27" t="s">
        <v>67</v>
      </c>
      <c r="C2" s="27" t="s">
        <v>68</v>
      </c>
      <c r="D2" s="27" t="s">
        <v>69</v>
      </c>
      <c r="E2" s="28" t="n">
        <v>46255</v>
      </c>
      <c r="F2" s="27" t="s">
        <v>70</v>
      </c>
      <c r="G2" s="29" t="n">
        <v>43000</v>
      </c>
      <c r="H2" s="21" t="n">
        <f aca="false">IF(F2="Intra-state",G2*Instructions!$C$16/2,0)</f>
        <v>3870</v>
      </c>
      <c r="I2" s="21" t="n">
        <f aca="false">IF(F2="Intra-state",G2*Instructions!$C$16/2,0)</f>
        <v>3870</v>
      </c>
      <c r="J2" s="21" t="n">
        <f aca="false">IF(F2="Inter-state",G2*Instructions!$C$16,0)</f>
        <v>0</v>
      </c>
      <c r="K2" s="21" t="n">
        <f aca="false">H2+I2+J2</f>
        <v>7740</v>
      </c>
      <c r="L2" s="21" t="n">
        <f aca="false">G2+K2</f>
        <v>50740</v>
      </c>
    </row>
    <row r="3" customFormat="false" ht="15" hidden="false" customHeight="false" outlineLevel="0" collapsed="false">
      <c r="A3" s="27" t="n">
        <v>2</v>
      </c>
      <c r="B3" s="27" t="s">
        <v>71</v>
      </c>
      <c r="C3" s="27" t="s">
        <v>72</v>
      </c>
      <c r="D3" s="27" t="s">
        <v>73</v>
      </c>
      <c r="E3" s="28" t="n">
        <v>46209</v>
      </c>
      <c r="F3" s="27" t="s">
        <v>70</v>
      </c>
      <c r="G3" s="29" t="n">
        <v>77250</v>
      </c>
      <c r="H3" s="21" t="n">
        <f aca="false">IF(F3="Intra-state",G3*Instructions!$C$16/2,0)</f>
        <v>6952.5</v>
      </c>
      <c r="I3" s="21" t="n">
        <f aca="false">IF(F3="Intra-state",G3*Instructions!$C$16/2,0)</f>
        <v>6952.5</v>
      </c>
      <c r="J3" s="21" t="n">
        <f aca="false">IF(F3="Inter-state",G3*Instructions!$C$16,0)</f>
        <v>0</v>
      </c>
      <c r="K3" s="21" t="n">
        <f aca="false">H3+I3+J3</f>
        <v>13905</v>
      </c>
      <c r="L3" s="21" t="n">
        <f aca="false">G3+K3</f>
        <v>91155</v>
      </c>
    </row>
    <row r="4" customFormat="false" ht="15" hidden="false" customHeight="false" outlineLevel="0" collapsed="false">
      <c r="A4" s="27" t="n">
        <v>3</v>
      </c>
      <c r="B4" s="27" t="s">
        <v>74</v>
      </c>
      <c r="C4" s="27" t="s">
        <v>75</v>
      </c>
      <c r="D4" s="27" t="s">
        <v>76</v>
      </c>
      <c r="E4" s="28" t="n">
        <v>46191</v>
      </c>
      <c r="F4" s="27" t="s">
        <v>70</v>
      </c>
      <c r="G4" s="29" t="n">
        <v>203000</v>
      </c>
      <c r="H4" s="21" t="n">
        <f aca="false">IF(F4="Intra-state",G4*Instructions!$C$16/2,0)</f>
        <v>18270</v>
      </c>
      <c r="I4" s="21" t="n">
        <f aca="false">IF(F4="Intra-state",G4*Instructions!$C$16/2,0)</f>
        <v>18270</v>
      </c>
      <c r="J4" s="21" t="n">
        <f aca="false">IF(F4="Inter-state",G4*Instructions!$C$16,0)</f>
        <v>0</v>
      </c>
      <c r="K4" s="21" t="n">
        <f aca="false">H4+I4+J4</f>
        <v>36540</v>
      </c>
      <c r="L4" s="21" t="n">
        <f aca="false">G4+K4</f>
        <v>239540</v>
      </c>
    </row>
    <row r="5" customFormat="false" ht="15" hidden="false" customHeight="false" outlineLevel="0" collapsed="false">
      <c r="A5" s="27" t="n">
        <v>4</v>
      </c>
      <c r="B5" s="27" t="s">
        <v>77</v>
      </c>
      <c r="C5" s="27" t="s">
        <v>78</v>
      </c>
      <c r="D5" s="27" t="s">
        <v>79</v>
      </c>
      <c r="E5" s="28" t="n">
        <v>46260</v>
      </c>
      <c r="F5" s="27" t="s">
        <v>70</v>
      </c>
      <c r="G5" s="29" t="n">
        <v>204000</v>
      </c>
      <c r="H5" s="21" t="n">
        <f aca="false">IF(F5="Intra-state",G5*Instructions!$C$16/2,0)</f>
        <v>18360</v>
      </c>
      <c r="I5" s="21" t="n">
        <f aca="false">IF(F5="Intra-state",G5*Instructions!$C$16/2,0)</f>
        <v>18360</v>
      </c>
      <c r="J5" s="21" t="n">
        <f aca="false">IF(F5="Inter-state",G5*Instructions!$C$16,0)</f>
        <v>0</v>
      </c>
      <c r="K5" s="21" t="n">
        <f aca="false">H5+I5+J5</f>
        <v>36720</v>
      </c>
      <c r="L5" s="21" t="n">
        <f aca="false">G5+K5</f>
        <v>240720</v>
      </c>
    </row>
    <row r="6" customFormat="false" ht="15" hidden="false" customHeight="false" outlineLevel="0" collapsed="false">
      <c r="A6" s="27" t="n">
        <v>5</v>
      </c>
      <c r="B6" s="27" t="s">
        <v>80</v>
      </c>
      <c r="C6" s="27" t="s">
        <v>81</v>
      </c>
      <c r="D6" s="27" t="s">
        <v>82</v>
      </c>
      <c r="E6" s="28" t="n">
        <v>46249</v>
      </c>
      <c r="F6" s="27" t="s">
        <v>70</v>
      </c>
      <c r="G6" s="29" t="n">
        <v>123000</v>
      </c>
      <c r="H6" s="21" t="n">
        <f aca="false">IF(F6="Intra-state",G6*Instructions!$C$16/2,0)</f>
        <v>11070</v>
      </c>
      <c r="I6" s="21" t="n">
        <f aca="false">IF(F6="Intra-state",G6*Instructions!$C$16/2,0)</f>
        <v>11070</v>
      </c>
      <c r="J6" s="21" t="n">
        <f aca="false">IF(F6="Inter-state",G6*Instructions!$C$16,0)</f>
        <v>0</v>
      </c>
      <c r="K6" s="21" t="n">
        <f aca="false">H6+I6+J6</f>
        <v>22140</v>
      </c>
      <c r="L6" s="21" t="n">
        <f aca="false">G6+K6</f>
        <v>145140</v>
      </c>
    </row>
    <row r="7" customFormat="false" ht="15" hidden="false" customHeight="false" outlineLevel="0" collapsed="false">
      <c r="A7" s="27" t="n">
        <v>6</v>
      </c>
      <c r="B7" s="27" t="s">
        <v>83</v>
      </c>
      <c r="C7" s="27" t="s">
        <v>84</v>
      </c>
      <c r="D7" s="27" t="s">
        <v>85</v>
      </c>
      <c r="E7" s="28" t="n">
        <v>46177</v>
      </c>
      <c r="F7" s="27" t="s">
        <v>86</v>
      </c>
      <c r="G7" s="29" t="n">
        <v>38250</v>
      </c>
      <c r="H7" s="21" t="n">
        <f aca="false">IF(F7="Intra-state",G7*Instructions!$C$16/2,0)</f>
        <v>0</v>
      </c>
      <c r="I7" s="21" t="n">
        <f aca="false">IF(F7="Intra-state",G7*Instructions!$C$16/2,0)</f>
        <v>0</v>
      </c>
      <c r="J7" s="21" t="n">
        <f aca="false">IF(F7="Inter-state",G7*Instructions!$C$16,0)</f>
        <v>6885</v>
      </c>
      <c r="K7" s="21" t="n">
        <f aca="false">H7+I7+J7</f>
        <v>6885</v>
      </c>
      <c r="L7" s="21" t="n">
        <f aca="false">G7+K7</f>
        <v>45135</v>
      </c>
    </row>
    <row r="8" customFormat="false" ht="15" hidden="false" customHeight="false" outlineLevel="0" collapsed="false">
      <c r="A8" s="27" t="n">
        <v>7</v>
      </c>
      <c r="B8" s="27" t="s">
        <v>87</v>
      </c>
      <c r="C8" s="27" t="s">
        <v>88</v>
      </c>
      <c r="D8" s="27" t="s">
        <v>89</v>
      </c>
      <c r="E8" s="28" t="n">
        <v>46203</v>
      </c>
      <c r="F8" s="27" t="s">
        <v>86</v>
      </c>
      <c r="G8" s="29" t="n">
        <v>144000</v>
      </c>
      <c r="H8" s="21" t="n">
        <f aca="false">IF(F8="Intra-state",G8*Instructions!$C$16/2,0)</f>
        <v>0</v>
      </c>
      <c r="I8" s="21" t="n">
        <f aca="false">IF(F8="Intra-state",G8*Instructions!$C$16/2,0)</f>
        <v>0</v>
      </c>
      <c r="J8" s="21" t="n">
        <f aca="false">IF(F8="Inter-state",G8*Instructions!$C$16,0)</f>
        <v>25920</v>
      </c>
      <c r="K8" s="21" t="n">
        <f aca="false">H8+I8+J8</f>
        <v>25920</v>
      </c>
      <c r="L8" s="21" t="n">
        <f aca="false">G8+K8</f>
        <v>169920</v>
      </c>
    </row>
    <row r="9" customFormat="false" ht="15" hidden="false" customHeight="false" outlineLevel="0" collapsed="false">
      <c r="A9" s="27" t="n">
        <v>8</v>
      </c>
      <c r="B9" s="27" t="s">
        <v>90</v>
      </c>
      <c r="C9" s="27" t="s">
        <v>91</v>
      </c>
      <c r="D9" s="27" t="s">
        <v>92</v>
      </c>
      <c r="E9" s="28" t="n">
        <v>46245</v>
      </c>
      <c r="F9" s="27" t="s">
        <v>86</v>
      </c>
      <c r="G9" s="29" t="n">
        <v>65750</v>
      </c>
      <c r="H9" s="21" t="n">
        <f aca="false">IF(F9="Intra-state",G9*Instructions!$C$16/2,0)</f>
        <v>0</v>
      </c>
      <c r="I9" s="21" t="n">
        <f aca="false">IF(F9="Intra-state",G9*Instructions!$C$16/2,0)</f>
        <v>0</v>
      </c>
      <c r="J9" s="21" t="n">
        <f aca="false">IF(F9="Inter-state",G9*Instructions!$C$16,0)</f>
        <v>11835</v>
      </c>
      <c r="K9" s="21" t="n">
        <f aca="false">H9+I9+J9</f>
        <v>11835</v>
      </c>
      <c r="L9" s="21" t="n">
        <f aca="false">G9+K9</f>
        <v>77585</v>
      </c>
    </row>
    <row r="10" customFormat="false" ht="15" hidden="false" customHeight="false" outlineLevel="0" collapsed="false">
      <c r="A10" s="27" t="n">
        <v>9</v>
      </c>
      <c r="B10" s="27" t="s">
        <v>93</v>
      </c>
      <c r="C10" s="27" t="s">
        <v>94</v>
      </c>
      <c r="D10" s="27" t="s">
        <v>95</v>
      </c>
      <c r="E10" s="28" t="n">
        <v>46202</v>
      </c>
      <c r="F10" s="27" t="s">
        <v>86</v>
      </c>
      <c r="G10" s="29" t="n">
        <v>129500</v>
      </c>
      <c r="H10" s="21" t="n">
        <f aca="false">IF(F10="Intra-state",G10*Instructions!$C$16/2,0)</f>
        <v>0</v>
      </c>
      <c r="I10" s="21" t="n">
        <f aca="false">IF(F10="Intra-state",G10*Instructions!$C$16/2,0)</f>
        <v>0</v>
      </c>
      <c r="J10" s="21" t="n">
        <f aca="false">IF(F10="Inter-state",G10*Instructions!$C$16,0)</f>
        <v>23310</v>
      </c>
      <c r="K10" s="21" t="n">
        <f aca="false">H10+I10+J10</f>
        <v>23310</v>
      </c>
      <c r="L10" s="21" t="n">
        <f aca="false">G10+K10</f>
        <v>152810</v>
      </c>
    </row>
    <row r="11" customFormat="false" ht="15" hidden="false" customHeight="false" outlineLevel="0" collapsed="false">
      <c r="A11" s="27" t="n">
        <v>10</v>
      </c>
      <c r="B11" s="27" t="s">
        <v>96</v>
      </c>
      <c r="C11" s="27" t="s">
        <v>97</v>
      </c>
      <c r="D11" s="27" t="s">
        <v>98</v>
      </c>
      <c r="E11" s="28" t="n">
        <v>46174</v>
      </c>
      <c r="F11" s="27" t="s">
        <v>86</v>
      </c>
      <c r="G11" s="29" t="n">
        <v>209250</v>
      </c>
      <c r="H11" s="21" t="n">
        <f aca="false">IF(F11="Intra-state",G11*Instructions!$C$16/2,0)</f>
        <v>0</v>
      </c>
      <c r="I11" s="21" t="n">
        <f aca="false">IF(F11="Intra-state",G11*Instructions!$C$16/2,0)</f>
        <v>0</v>
      </c>
      <c r="J11" s="21" t="n">
        <f aca="false">IF(F11="Inter-state",G11*Instructions!$C$16,0)</f>
        <v>37665</v>
      </c>
      <c r="K11" s="21" t="n">
        <f aca="false">H11+I11+J11</f>
        <v>37665</v>
      </c>
      <c r="L11" s="21" t="n">
        <f aca="false">G11+K11</f>
        <v>246915</v>
      </c>
    </row>
    <row r="12" customFormat="false" ht="15" hidden="false" customHeight="false" outlineLevel="0" collapsed="false">
      <c r="A12" s="27" t="n">
        <v>11</v>
      </c>
      <c r="B12" s="27" t="s">
        <v>99</v>
      </c>
      <c r="C12" s="27" t="s">
        <v>68</v>
      </c>
      <c r="D12" s="27" t="s">
        <v>69</v>
      </c>
      <c r="E12" s="28" t="n">
        <v>46263</v>
      </c>
      <c r="F12" s="27" t="s">
        <v>70</v>
      </c>
      <c r="G12" s="29" t="n">
        <v>123500</v>
      </c>
      <c r="H12" s="21" t="n">
        <f aca="false">IF(F12="Intra-state",G12*Instructions!$C$16/2,0)</f>
        <v>11115</v>
      </c>
      <c r="I12" s="21" t="n">
        <f aca="false">IF(F12="Intra-state",G12*Instructions!$C$16/2,0)</f>
        <v>11115</v>
      </c>
      <c r="J12" s="21" t="n">
        <f aca="false">IF(F12="Inter-state",G12*Instructions!$C$16,0)</f>
        <v>0</v>
      </c>
      <c r="K12" s="21" t="n">
        <f aca="false">H12+I12+J12</f>
        <v>22230</v>
      </c>
      <c r="L12" s="21" t="n">
        <f aca="false">G12+K12</f>
        <v>145730</v>
      </c>
    </row>
    <row r="13" customFormat="false" ht="15" hidden="false" customHeight="false" outlineLevel="0" collapsed="false">
      <c r="A13" s="27" t="n">
        <v>12</v>
      </c>
      <c r="B13" s="27" t="s">
        <v>100</v>
      </c>
      <c r="C13" s="27" t="s">
        <v>72</v>
      </c>
      <c r="D13" s="27" t="s">
        <v>73</v>
      </c>
      <c r="E13" s="28" t="n">
        <v>46209</v>
      </c>
      <c r="F13" s="27" t="s">
        <v>70</v>
      </c>
      <c r="G13" s="29" t="n">
        <v>54250</v>
      </c>
      <c r="H13" s="21" t="n">
        <f aca="false">IF(F13="Intra-state",G13*Instructions!$C$16/2,0)</f>
        <v>4882.5</v>
      </c>
      <c r="I13" s="21" t="n">
        <f aca="false">IF(F13="Intra-state",G13*Instructions!$C$16/2,0)</f>
        <v>4882.5</v>
      </c>
      <c r="J13" s="21" t="n">
        <f aca="false">IF(F13="Inter-state",G13*Instructions!$C$16,0)</f>
        <v>0</v>
      </c>
      <c r="K13" s="21" t="n">
        <f aca="false">H13+I13+J13</f>
        <v>9765</v>
      </c>
      <c r="L13" s="21" t="n">
        <f aca="false">G13+K13</f>
        <v>64015</v>
      </c>
    </row>
    <row r="14" customFormat="false" ht="15" hidden="false" customHeight="false" outlineLevel="0" collapsed="false">
      <c r="A14" s="27" t="n">
        <v>13</v>
      </c>
      <c r="B14" s="27" t="s">
        <v>101</v>
      </c>
      <c r="C14" s="27" t="s">
        <v>75</v>
      </c>
      <c r="D14" s="27" t="s">
        <v>76</v>
      </c>
      <c r="E14" s="28" t="n">
        <v>46217</v>
      </c>
      <c r="F14" s="27" t="s">
        <v>70</v>
      </c>
      <c r="G14" s="29" t="n">
        <v>41000</v>
      </c>
      <c r="H14" s="21" t="n">
        <f aca="false">IF(F14="Intra-state",G14*Instructions!$C$16/2,0)</f>
        <v>3690</v>
      </c>
      <c r="I14" s="21" t="n">
        <f aca="false">IF(F14="Intra-state",G14*Instructions!$C$16/2,0)</f>
        <v>3690</v>
      </c>
      <c r="J14" s="21" t="n">
        <f aca="false">IF(F14="Inter-state",G14*Instructions!$C$16,0)</f>
        <v>0</v>
      </c>
      <c r="K14" s="21" t="n">
        <f aca="false">H14+I14+J14</f>
        <v>7380</v>
      </c>
      <c r="L14" s="21" t="n">
        <f aca="false">G14+K14</f>
        <v>48380</v>
      </c>
    </row>
    <row r="15" customFormat="false" ht="15" hidden="false" customHeight="false" outlineLevel="0" collapsed="false">
      <c r="A15" s="27" t="n">
        <v>14</v>
      </c>
      <c r="B15" s="27" t="s">
        <v>102</v>
      </c>
      <c r="C15" s="27" t="s">
        <v>78</v>
      </c>
      <c r="D15" s="27" t="s">
        <v>79</v>
      </c>
      <c r="E15" s="28" t="n">
        <v>46222</v>
      </c>
      <c r="F15" s="27" t="s">
        <v>70</v>
      </c>
      <c r="G15" s="29" t="n">
        <v>39500</v>
      </c>
      <c r="H15" s="21" t="n">
        <f aca="false">IF(F15="Intra-state",G15*Instructions!$C$16/2,0)</f>
        <v>3555</v>
      </c>
      <c r="I15" s="21" t="n">
        <f aca="false">IF(F15="Intra-state",G15*Instructions!$C$16/2,0)</f>
        <v>3555</v>
      </c>
      <c r="J15" s="21" t="n">
        <f aca="false">IF(F15="Inter-state",G15*Instructions!$C$16,0)</f>
        <v>0</v>
      </c>
      <c r="K15" s="21" t="n">
        <f aca="false">H15+I15+J15</f>
        <v>7110</v>
      </c>
      <c r="L15" s="21" t="n">
        <f aca="false">G15+K15</f>
        <v>46610</v>
      </c>
    </row>
    <row r="16" customFormat="false" ht="15" hidden="false" customHeight="false" outlineLevel="0" collapsed="false">
      <c r="A16" s="27" t="n">
        <v>15</v>
      </c>
      <c r="B16" s="27" t="s">
        <v>103</v>
      </c>
      <c r="C16" s="27" t="s">
        <v>81</v>
      </c>
      <c r="D16" s="27" t="s">
        <v>82</v>
      </c>
      <c r="E16" s="28" t="n">
        <v>46218</v>
      </c>
      <c r="F16" s="27" t="s">
        <v>70</v>
      </c>
      <c r="G16" s="29" t="n">
        <v>169500</v>
      </c>
      <c r="H16" s="21" t="n">
        <f aca="false">IF(F16="Intra-state",G16*Instructions!$C$16/2,0)</f>
        <v>15255</v>
      </c>
      <c r="I16" s="21" t="n">
        <f aca="false">IF(F16="Intra-state",G16*Instructions!$C$16/2,0)</f>
        <v>15255</v>
      </c>
      <c r="J16" s="21" t="n">
        <f aca="false">IF(F16="Inter-state",G16*Instructions!$C$16,0)</f>
        <v>0</v>
      </c>
      <c r="K16" s="21" t="n">
        <f aca="false">H16+I16+J16</f>
        <v>30510</v>
      </c>
      <c r="L16" s="21" t="n">
        <f aca="false">G16+K16</f>
        <v>200010</v>
      </c>
    </row>
    <row r="17" customFormat="false" ht="15" hidden="false" customHeight="false" outlineLevel="0" collapsed="false">
      <c r="A17" s="27" t="n">
        <v>16</v>
      </c>
      <c r="B17" s="27" t="s">
        <v>104</v>
      </c>
      <c r="C17" s="27" t="s">
        <v>84</v>
      </c>
      <c r="D17" s="27" t="s">
        <v>85</v>
      </c>
      <c r="E17" s="28" t="n">
        <v>46179</v>
      </c>
      <c r="F17" s="27" t="s">
        <v>86</v>
      </c>
      <c r="G17" s="29" t="n">
        <v>201750</v>
      </c>
      <c r="H17" s="21" t="n">
        <f aca="false">IF(F17="Intra-state",G17*Instructions!$C$16/2,0)</f>
        <v>0</v>
      </c>
      <c r="I17" s="21" t="n">
        <f aca="false">IF(F17="Intra-state",G17*Instructions!$C$16/2,0)</f>
        <v>0</v>
      </c>
      <c r="J17" s="21" t="n">
        <f aca="false">IF(F17="Inter-state",G17*Instructions!$C$16,0)</f>
        <v>36315</v>
      </c>
      <c r="K17" s="21" t="n">
        <f aca="false">H17+I17+J17</f>
        <v>36315</v>
      </c>
      <c r="L17" s="21" t="n">
        <f aca="false">G17+K17</f>
        <v>238065</v>
      </c>
    </row>
    <row r="18" customFormat="false" ht="15" hidden="false" customHeight="false" outlineLevel="0" collapsed="false">
      <c r="A18" s="27" t="n">
        <v>17</v>
      </c>
      <c r="B18" s="27" t="s">
        <v>105</v>
      </c>
      <c r="C18" s="27" t="s">
        <v>88</v>
      </c>
      <c r="D18" s="27" t="s">
        <v>89</v>
      </c>
      <c r="E18" s="28" t="n">
        <v>46242</v>
      </c>
      <c r="F18" s="27" t="s">
        <v>86</v>
      </c>
      <c r="G18" s="29" t="n">
        <v>46750</v>
      </c>
      <c r="H18" s="21" t="n">
        <f aca="false">IF(F18="Intra-state",G18*Instructions!$C$16/2,0)</f>
        <v>0</v>
      </c>
      <c r="I18" s="21" t="n">
        <f aca="false">IF(F18="Intra-state",G18*Instructions!$C$16/2,0)</f>
        <v>0</v>
      </c>
      <c r="J18" s="21" t="n">
        <f aca="false">IF(F18="Inter-state",G18*Instructions!$C$16,0)</f>
        <v>8415</v>
      </c>
      <c r="K18" s="21" t="n">
        <f aca="false">H18+I18+J18</f>
        <v>8415</v>
      </c>
      <c r="L18" s="21" t="n">
        <f aca="false">G18+K18</f>
        <v>55165</v>
      </c>
    </row>
    <row r="19" customFormat="false" ht="15" hidden="false" customHeight="false" outlineLevel="0" collapsed="false">
      <c r="A19" s="27" t="n">
        <v>18</v>
      </c>
      <c r="B19" s="27" t="s">
        <v>106</v>
      </c>
      <c r="C19" s="27" t="s">
        <v>91</v>
      </c>
      <c r="D19" s="27" t="s">
        <v>92</v>
      </c>
      <c r="E19" s="28" t="n">
        <v>46184</v>
      </c>
      <c r="F19" s="27" t="s">
        <v>86</v>
      </c>
      <c r="G19" s="29" t="n">
        <v>156500</v>
      </c>
      <c r="H19" s="21" t="n">
        <f aca="false">IF(F19="Intra-state",G19*Instructions!$C$16/2,0)</f>
        <v>0</v>
      </c>
      <c r="I19" s="21" t="n">
        <f aca="false">IF(F19="Intra-state",G19*Instructions!$C$16/2,0)</f>
        <v>0</v>
      </c>
      <c r="J19" s="21" t="n">
        <f aca="false">IF(F19="Inter-state",G19*Instructions!$C$16,0)</f>
        <v>28170</v>
      </c>
      <c r="K19" s="21" t="n">
        <f aca="false">H19+I19+J19</f>
        <v>28170</v>
      </c>
      <c r="L19" s="21" t="n">
        <f aca="false">G19+K19</f>
        <v>184670</v>
      </c>
    </row>
    <row r="20" customFormat="false" ht="15" hidden="false" customHeight="false" outlineLevel="0" collapsed="false">
      <c r="A20" s="27" t="n">
        <v>19</v>
      </c>
      <c r="B20" s="27" t="s">
        <v>107</v>
      </c>
      <c r="C20" s="27" t="s">
        <v>94</v>
      </c>
      <c r="D20" s="27" t="s">
        <v>95</v>
      </c>
      <c r="E20" s="28" t="n">
        <v>46254</v>
      </c>
      <c r="F20" s="27" t="s">
        <v>86</v>
      </c>
      <c r="G20" s="29" t="n">
        <v>173500</v>
      </c>
      <c r="H20" s="21" t="n">
        <f aca="false">IF(F20="Intra-state",G20*Instructions!$C$16/2,0)</f>
        <v>0</v>
      </c>
      <c r="I20" s="21" t="n">
        <f aca="false">IF(F20="Intra-state",G20*Instructions!$C$16/2,0)</f>
        <v>0</v>
      </c>
      <c r="J20" s="21" t="n">
        <f aca="false">IF(F20="Inter-state",G20*Instructions!$C$16,0)</f>
        <v>31230</v>
      </c>
      <c r="K20" s="21" t="n">
        <f aca="false">H20+I20+J20</f>
        <v>31230</v>
      </c>
      <c r="L20" s="21" t="n">
        <f aca="false">G20+K20</f>
        <v>204730</v>
      </c>
    </row>
    <row r="21" customFormat="false" ht="15" hidden="false" customHeight="false" outlineLevel="0" collapsed="false">
      <c r="A21" s="27" t="n">
        <v>20</v>
      </c>
      <c r="B21" s="27" t="s">
        <v>108</v>
      </c>
      <c r="C21" s="27" t="s">
        <v>97</v>
      </c>
      <c r="D21" s="27" t="s">
        <v>98</v>
      </c>
      <c r="E21" s="28" t="n">
        <v>46247</v>
      </c>
      <c r="F21" s="27" t="s">
        <v>86</v>
      </c>
      <c r="G21" s="29" t="n">
        <v>64000</v>
      </c>
      <c r="H21" s="21" t="n">
        <f aca="false">IF(F21="Intra-state",G21*Instructions!$C$16/2,0)</f>
        <v>0</v>
      </c>
      <c r="I21" s="21" t="n">
        <f aca="false">IF(F21="Intra-state",G21*Instructions!$C$16/2,0)</f>
        <v>0</v>
      </c>
      <c r="J21" s="21" t="n">
        <f aca="false">IF(F21="Inter-state",G21*Instructions!$C$16,0)</f>
        <v>11520</v>
      </c>
      <c r="K21" s="21" t="n">
        <f aca="false">H21+I21+J21</f>
        <v>11520</v>
      </c>
      <c r="L21" s="21" t="n">
        <f aca="false">G21+K21</f>
        <v>75520</v>
      </c>
    </row>
    <row r="22" customFormat="false" ht="15" hidden="false" customHeight="false" outlineLevel="0" collapsed="false">
      <c r="A22" s="27" t="n">
        <v>21</v>
      </c>
      <c r="B22" s="27" t="s">
        <v>109</v>
      </c>
      <c r="C22" s="27" t="s">
        <v>68</v>
      </c>
      <c r="D22" s="27" t="s">
        <v>69</v>
      </c>
      <c r="E22" s="28" t="n">
        <v>46179</v>
      </c>
      <c r="F22" s="27" t="s">
        <v>70</v>
      </c>
      <c r="G22" s="29" t="n">
        <v>184250</v>
      </c>
      <c r="H22" s="21" t="n">
        <f aca="false">IF(F22="Intra-state",G22*Instructions!$C$16/2,0)</f>
        <v>16582.5</v>
      </c>
      <c r="I22" s="21" t="n">
        <f aca="false">IF(F22="Intra-state",G22*Instructions!$C$16/2,0)</f>
        <v>16582.5</v>
      </c>
      <c r="J22" s="21" t="n">
        <f aca="false">IF(F22="Inter-state",G22*Instructions!$C$16,0)</f>
        <v>0</v>
      </c>
      <c r="K22" s="21" t="n">
        <f aca="false">H22+I22+J22</f>
        <v>33165</v>
      </c>
      <c r="L22" s="21" t="n">
        <f aca="false">G22+K22</f>
        <v>217415</v>
      </c>
    </row>
    <row r="23" customFormat="false" ht="15" hidden="false" customHeight="false" outlineLevel="0" collapsed="false">
      <c r="A23" s="27" t="n">
        <v>22</v>
      </c>
      <c r="B23" s="27" t="s">
        <v>110</v>
      </c>
      <c r="C23" s="27" t="s">
        <v>72</v>
      </c>
      <c r="D23" s="27" t="s">
        <v>73</v>
      </c>
      <c r="E23" s="28" t="n">
        <v>46211</v>
      </c>
      <c r="F23" s="27" t="s">
        <v>70</v>
      </c>
      <c r="G23" s="29" t="n">
        <v>35250</v>
      </c>
      <c r="H23" s="21" t="n">
        <f aca="false">IF(F23="Intra-state",G23*Instructions!$C$16/2,0)</f>
        <v>3172.5</v>
      </c>
      <c r="I23" s="21" t="n">
        <f aca="false">IF(F23="Intra-state",G23*Instructions!$C$16/2,0)</f>
        <v>3172.5</v>
      </c>
      <c r="J23" s="21" t="n">
        <f aca="false">IF(F23="Inter-state",G23*Instructions!$C$16,0)</f>
        <v>0</v>
      </c>
      <c r="K23" s="21" t="n">
        <f aca="false">H23+I23+J23</f>
        <v>6345</v>
      </c>
      <c r="L23" s="21" t="n">
        <f aca="false">G23+K23</f>
        <v>41595</v>
      </c>
    </row>
    <row r="24" customFormat="false" ht="15" hidden="false" customHeight="false" outlineLevel="0" collapsed="false">
      <c r="A24" s="27" t="n">
        <v>23</v>
      </c>
      <c r="B24" s="27" t="s">
        <v>111</v>
      </c>
      <c r="C24" s="27" t="s">
        <v>75</v>
      </c>
      <c r="D24" s="27" t="s">
        <v>76</v>
      </c>
      <c r="E24" s="28" t="n">
        <v>46186</v>
      </c>
      <c r="F24" s="27" t="s">
        <v>70</v>
      </c>
      <c r="G24" s="29" t="n">
        <v>112500</v>
      </c>
      <c r="H24" s="21" t="n">
        <f aca="false">IF(F24="Intra-state",G24*Instructions!$C$16/2,0)</f>
        <v>10125</v>
      </c>
      <c r="I24" s="21" t="n">
        <f aca="false">IF(F24="Intra-state",G24*Instructions!$C$16/2,0)</f>
        <v>10125</v>
      </c>
      <c r="J24" s="21" t="n">
        <f aca="false">IF(F24="Inter-state",G24*Instructions!$C$16,0)</f>
        <v>0</v>
      </c>
      <c r="K24" s="21" t="n">
        <f aca="false">H24+I24+J24</f>
        <v>20250</v>
      </c>
      <c r="L24" s="21" t="n">
        <f aca="false">G24+K24</f>
        <v>132750</v>
      </c>
    </row>
    <row r="25" customFormat="false" ht="15" hidden="false" customHeight="false" outlineLevel="0" collapsed="false">
      <c r="A25" s="27" t="n">
        <v>24</v>
      </c>
      <c r="B25" s="27" t="s">
        <v>112</v>
      </c>
      <c r="C25" s="27" t="s">
        <v>78</v>
      </c>
      <c r="D25" s="27" t="s">
        <v>79</v>
      </c>
      <c r="E25" s="28" t="n">
        <v>46232</v>
      </c>
      <c r="F25" s="27" t="s">
        <v>70</v>
      </c>
      <c r="G25" s="29" t="n">
        <v>177500</v>
      </c>
      <c r="H25" s="21" t="n">
        <f aca="false">IF(F25="Intra-state",G25*Instructions!$C$16/2,0)</f>
        <v>15975</v>
      </c>
      <c r="I25" s="21" t="n">
        <f aca="false">IF(F25="Intra-state",G25*Instructions!$C$16/2,0)</f>
        <v>15975</v>
      </c>
      <c r="J25" s="21" t="n">
        <f aca="false">IF(F25="Inter-state",G25*Instructions!$C$16,0)</f>
        <v>0</v>
      </c>
      <c r="K25" s="21" t="n">
        <f aca="false">H25+I25+J25</f>
        <v>31950</v>
      </c>
      <c r="L25" s="21" t="n">
        <f aca="false">G25+K25</f>
        <v>209450</v>
      </c>
    </row>
    <row r="26" customFormat="false" ht="15" hidden="false" customHeight="false" outlineLevel="0" collapsed="false">
      <c r="A26" s="27" t="n">
        <v>25</v>
      </c>
      <c r="B26" s="27" t="s">
        <v>113</v>
      </c>
      <c r="C26" s="27" t="s">
        <v>81</v>
      </c>
      <c r="D26" s="27" t="s">
        <v>82</v>
      </c>
      <c r="E26" s="28" t="n">
        <v>46194</v>
      </c>
      <c r="F26" s="27" t="s">
        <v>70</v>
      </c>
      <c r="G26" s="29" t="n">
        <v>109500</v>
      </c>
      <c r="H26" s="21" t="n">
        <f aca="false">IF(F26="Intra-state",G26*Instructions!$C$16/2,0)</f>
        <v>9855</v>
      </c>
      <c r="I26" s="21" t="n">
        <f aca="false">IF(F26="Intra-state",G26*Instructions!$C$16/2,0)</f>
        <v>9855</v>
      </c>
      <c r="J26" s="21" t="n">
        <f aca="false">IF(F26="Inter-state",G26*Instructions!$C$16,0)</f>
        <v>0</v>
      </c>
      <c r="K26" s="21" t="n">
        <f aca="false">H26+I26+J26</f>
        <v>19710</v>
      </c>
      <c r="L26" s="21" t="n">
        <f aca="false">G26+K26</f>
        <v>129210</v>
      </c>
    </row>
    <row r="27" customFormat="false" ht="15" hidden="false" customHeight="false" outlineLevel="0" collapsed="false">
      <c r="F27" s="30" t="s">
        <v>114</v>
      </c>
      <c r="G27" s="31" t="n">
        <f aca="false">SUM(G2:G26)</f>
        <v>2926250</v>
      </c>
      <c r="H27" s="31" t="n">
        <f aca="false">SUM(H2:H26)</f>
        <v>152730</v>
      </c>
      <c r="I27" s="31" t="n">
        <f aca="false">SUM(I2:I26)</f>
        <v>152730</v>
      </c>
      <c r="J27" s="31" t="n">
        <f aca="false">SUM(J2:J26)</f>
        <v>221265</v>
      </c>
      <c r="K27" s="31" t="n">
        <f aca="false">SUM(K2:K26)</f>
        <v>526725</v>
      </c>
      <c r="L27" s="31" t="n">
        <f aca="false">SUM(L2:L26)</f>
        <v>3452975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20"/>
  </cols>
  <sheetData>
    <row r="1" customFormat="false" ht="30" hidden="false" customHeight="true" outlineLevel="0" collapsed="false">
      <c r="A1" s="26" t="s">
        <v>55</v>
      </c>
      <c r="B1" s="26" t="s">
        <v>56</v>
      </c>
      <c r="C1" s="26" t="s">
        <v>57</v>
      </c>
      <c r="D1" s="26" t="s">
        <v>58</v>
      </c>
      <c r="E1" s="26" t="s">
        <v>59</v>
      </c>
      <c r="F1" s="26" t="s">
        <v>60</v>
      </c>
      <c r="G1" s="26" t="s">
        <v>61</v>
      </c>
      <c r="H1" s="26" t="s">
        <v>62</v>
      </c>
      <c r="I1" s="26" t="s">
        <v>63</v>
      </c>
      <c r="J1" s="26" t="s">
        <v>64</v>
      </c>
      <c r="K1" s="26" t="s">
        <v>65</v>
      </c>
      <c r="L1" s="26" t="s">
        <v>66</v>
      </c>
      <c r="M1" s="26" t="s">
        <v>115</v>
      </c>
      <c r="N1" s="26" t="s">
        <v>116</v>
      </c>
    </row>
    <row r="2" customFormat="false" ht="15" hidden="false" customHeight="false" outlineLevel="0" collapsed="false">
      <c r="A2" s="27" t="n">
        <v>1</v>
      </c>
      <c r="B2" s="27" t="s">
        <v>67</v>
      </c>
      <c r="C2" s="27" t="s">
        <v>68</v>
      </c>
      <c r="D2" s="27" t="s">
        <v>69</v>
      </c>
      <c r="E2" s="28" t="n">
        <v>46255</v>
      </c>
      <c r="F2" s="27" t="s">
        <v>70</v>
      </c>
      <c r="G2" s="29" t="n">
        <v>43000</v>
      </c>
      <c r="H2" s="21" t="n">
        <f aca="false">IF(F2="Intra-state",G2*Instructions!$C$16/2,0)</f>
        <v>3870</v>
      </c>
      <c r="I2" s="21" t="n">
        <f aca="false">IF(F2="Intra-state",G2*Instructions!$C$16/2,0)</f>
        <v>3870</v>
      </c>
      <c r="J2" s="21" t="n">
        <f aca="false">IF(F2="Inter-state",G2*Instructions!$C$16,0)</f>
        <v>0</v>
      </c>
      <c r="K2" s="21" t="n">
        <f aca="false">H2+I2+J2</f>
        <v>7740</v>
      </c>
      <c r="L2" s="21" t="n">
        <f aca="false">G2+K2</f>
        <v>50740</v>
      </c>
      <c r="M2" s="32" t="str">
        <f aca="false">IF(ISNUMBER(MATCH(B2,'Purchase Register'!$B$2:$B$26,0)),"Yes","No")</f>
        <v>Yes</v>
      </c>
      <c r="N2" s="32" t="str">
        <f aca="false">IF(M2="No","Not in Purchase Register",IF(COUNTIF($B$2:$B$25,B2)&gt;1,"Duplicate filing","-"))</f>
        <v>-</v>
      </c>
    </row>
    <row r="3" customFormat="false" ht="15" hidden="false" customHeight="false" outlineLevel="0" collapsed="false">
      <c r="A3" s="27" t="n">
        <v>2</v>
      </c>
      <c r="B3" s="27" t="s">
        <v>71</v>
      </c>
      <c r="C3" s="27" t="s">
        <v>72</v>
      </c>
      <c r="D3" s="27" t="s">
        <v>73</v>
      </c>
      <c r="E3" s="28" t="n">
        <v>46209</v>
      </c>
      <c r="F3" s="27" t="s">
        <v>70</v>
      </c>
      <c r="G3" s="29" t="n">
        <v>77250</v>
      </c>
      <c r="H3" s="21" t="n">
        <f aca="false">IF(F3="Intra-state",G3*Instructions!$C$16/2,0)</f>
        <v>6952.5</v>
      </c>
      <c r="I3" s="21" t="n">
        <f aca="false">IF(F3="Intra-state",G3*Instructions!$C$16/2,0)</f>
        <v>6952.5</v>
      </c>
      <c r="J3" s="21" t="n">
        <f aca="false">IF(F3="Inter-state",G3*Instructions!$C$16,0)</f>
        <v>0</v>
      </c>
      <c r="K3" s="21" t="n">
        <f aca="false">H3+I3+J3</f>
        <v>13905</v>
      </c>
      <c r="L3" s="21" t="n">
        <f aca="false">G3+K3</f>
        <v>91155</v>
      </c>
      <c r="M3" s="32" t="str">
        <f aca="false">IF(ISNUMBER(MATCH(B3,'Purchase Register'!$B$2:$B$26,0)),"Yes","No")</f>
        <v>Yes</v>
      </c>
      <c r="N3" s="32" t="str">
        <f aca="false">IF(M3="No","Not in Purchase Register",IF(COUNTIF($B$2:$B$25,B3)&gt;1,"Duplicate filing","-"))</f>
        <v>-</v>
      </c>
    </row>
    <row r="4" customFormat="false" ht="15" hidden="false" customHeight="false" outlineLevel="0" collapsed="false">
      <c r="A4" s="27" t="n">
        <v>3</v>
      </c>
      <c r="B4" s="27" t="s">
        <v>74</v>
      </c>
      <c r="C4" s="27" t="s">
        <v>75</v>
      </c>
      <c r="D4" s="27" t="s">
        <v>76</v>
      </c>
      <c r="E4" s="28" t="n">
        <v>46191</v>
      </c>
      <c r="F4" s="27" t="s">
        <v>70</v>
      </c>
      <c r="G4" s="29" t="n">
        <v>205500</v>
      </c>
      <c r="H4" s="21" t="n">
        <f aca="false">IF(F4="Intra-state",G4*Instructions!$C$16/2,0)</f>
        <v>18495</v>
      </c>
      <c r="I4" s="21" t="n">
        <f aca="false">IF(F4="Intra-state",G4*Instructions!$C$16/2,0)</f>
        <v>18495</v>
      </c>
      <c r="J4" s="21" t="n">
        <f aca="false">IF(F4="Inter-state",G4*Instructions!$C$16,0)</f>
        <v>0</v>
      </c>
      <c r="K4" s="21" t="n">
        <f aca="false">H4+I4+J4</f>
        <v>36990</v>
      </c>
      <c r="L4" s="21" t="n">
        <f aca="false">G4+K4</f>
        <v>242490</v>
      </c>
      <c r="M4" s="32" t="str">
        <f aca="false">IF(ISNUMBER(MATCH(B4,'Purchase Register'!$B$2:$B$26,0)),"Yes","No")</f>
        <v>Yes</v>
      </c>
      <c r="N4" s="32" t="str">
        <f aca="false">IF(M4="No","Not in Purchase Register",IF(COUNTIF($B$2:$B$25,B4)&gt;1,"Duplicate filing","-"))</f>
        <v>-</v>
      </c>
    </row>
    <row r="5" customFormat="false" ht="15" hidden="false" customHeight="false" outlineLevel="0" collapsed="false">
      <c r="A5" s="27" t="n">
        <v>4</v>
      </c>
      <c r="B5" s="27" t="s">
        <v>77</v>
      </c>
      <c r="C5" s="27" t="s">
        <v>78</v>
      </c>
      <c r="D5" s="27" t="s">
        <v>79</v>
      </c>
      <c r="E5" s="28" t="n">
        <v>46260</v>
      </c>
      <c r="F5" s="27" t="s">
        <v>70</v>
      </c>
      <c r="G5" s="29" t="n">
        <v>204000</v>
      </c>
      <c r="H5" s="21" t="n">
        <f aca="false">IF(F5="Intra-state",G5*Instructions!$C$16/2,0)</f>
        <v>18360</v>
      </c>
      <c r="I5" s="21" t="n">
        <f aca="false">IF(F5="Intra-state",G5*Instructions!$C$16/2,0)</f>
        <v>18360</v>
      </c>
      <c r="J5" s="21" t="n">
        <f aca="false">IF(F5="Inter-state",G5*Instructions!$C$16,0)</f>
        <v>0</v>
      </c>
      <c r="K5" s="21" t="n">
        <f aca="false">H5+I5+J5</f>
        <v>36720</v>
      </c>
      <c r="L5" s="21" t="n">
        <f aca="false">G5+K5</f>
        <v>240720</v>
      </c>
      <c r="M5" s="32" t="str">
        <f aca="false">IF(ISNUMBER(MATCH(B5,'Purchase Register'!$B$2:$B$26,0)),"Yes","No")</f>
        <v>Yes</v>
      </c>
      <c r="N5" s="32" t="str">
        <f aca="false">IF(M5="No","Not in Purchase Register",IF(COUNTIF($B$2:$B$25,B5)&gt;1,"Duplicate filing","-"))</f>
        <v>-</v>
      </c>
    </row>
    <row r="6" customFormat="false" ht="15" hidden="false" customHeight="false" outlineLevel="0" collapsed="false">
      <c r="A6" s="27" t="n">
        <v>5</v>
      </c>
      <c r="B6" s="27" t="s">
        <v>83</v>
      </c>
      <c r="C6" s="27" t="s">
        <v>84</v>
      </c>
      <c r="D6" s="27" t="s">
        <v>85</v>
      </c>
      <c r="E6" s="28" t="n">
        <v>46177</v>
      </c>
      <c r="F6" s="27" t="s">
        <v>86</v>
      </c>
      <c r="G6" s="29" t="n">
        <v>38250</v>
      </c>
      <c r="H6" s="21" t="n">
        <f aca="false">IF(F6="Intra-state",G6*Instructions!$C$16/2,0)</f>
        <v>0</v>
      </c>
      <c r="I6" s="21" t="n">
        <f aca="false">IF(F6="Intra-state",G6*Instructions!$C$16/2,0)</f>
        <v>0</v>
      </c>
      <c r="J6" s="21" t="n">
        <f aca="false">IF(F6="Inter-state",G6*Instructions!$C$16,0)</f>
        <v>6885</v>
      </c>
      <c r="K6" s="21" t="n">
        <f aca="false">H6+I6+J6</f>
        <v>6885</v>
      </c>
      <c r="L6" s="21" t="n">
        <f aca="false">G6+K6</f>
        <v>45135</v>
      </c>
      <c r="M6" s="32" t="str">
        <f aca="false">IF(ISNUMBER(MATCH(B6,'Purchase Register'!$B$2:$B$26,0)),"Yes","No")</f>
        <v>Yes</v>
      </c>
      <c r="N6" s="32" t="str">
        <f aca="false">IF(M6="No","Not in Purchase Register",IF(COUNTIF($B$2:$B$25,B6)&gt;1,"Duplicate filing","-"))</f>
        <v>-</v>
      </c>
    </row>
    <row r="7" customFormat="false" ht="15" hidden="false" customHeight="false" outlineLevel="0" collapsed="false">
      <c r="A7" s="27" t="n">
        <v>6</v>
      </c>
      <c r="B7" s="27" t="s">
        <v>87</v>
      </c>
      <c r="C7" s="27" t="s">
        <v>88</v>
      </c>
      <c r="D7" s="27" t="s">
        <v>89</v>
      </c>
      <c r="E7" s="28" t="n">
        <v>46203</v>
      </c>
      <c r="F7" s="27" t="s">
        <v>86</v>
      </c>
      <c r="G7" s="29" t="n">
        <v>144000</v>
      </c>
      <c r="H7" s="21" t="n">
        <f aca="false">IF(F7="Intra-state",G7*Instructions!$C$16/2,0)</f>
        <v>0</v>
      </c>
      <c r="I7" s="21" t="n">
        <f aca="false">IF(F7="Intra-state",G7*Instructions!$C$16/2,0)</f>
        <v>0</v>
      </c>
      <c r="J7" s="21" t="n">
        <f aca="false">IF(F7="Inter-state",G7*Instructions!$C$16,0)</f>
        <v>25920</v>
      </c>
      <c r="K7" s="21" t="n">
        <f aca="false">H7+I7+J7</f>
        <v>25920</v>
      </c>
      <c r="L7" s="21" t="n">
        <f aca="false">G7+K7</f>
        <v>169920</v>
      </c>
      <c r="M7" s="32" t="str">
        <f aca="false">IF(ISNUMBER(MATCH(B7,'Purchase Register'!$B$2:$B$26,0)),"Yes","No")</f>
        <v>Yes</v>
      </c>
      <c r="N7" s="32" t="str">
        <f aca="false">IF(M7="No","Not in Purchase Register",IF(COUNTIF($B$2:$B$25,B7)&gt;1,"Duplicate filing","-"))</f>
        <v>-</v>
      </c>
    </row>
    <row r="8" customFormat="false" ht="15" hidden="false" customHeight="false" outlineLevel="0" collapsed="false">
      <c r="A8" s="27" t="n">
        <v>7</v>
      </c>
      <c r="B8" s="27" t="s">
        <v>90</v>
      </c>
      <c r="C8" s="27" t="s">
        <v>91</v>
      </c>
      <c r="D8" s="27" t="s">
        <v>92</v>
      </c>
      <c r="E8" s="28" t="n">
        <v>46245</v>
      </c>
      <c r="F8" s="27" t="s">
        <v>86</v>
      </c>
      <c r="G8" s="29" t="n">
        <v>65750</v>
      </c>
      <c r="H8" s="21" t="n">
        <f aca="false">IF(F8="Intra-state",G8*Instructions!$C$16/2,0)</f>
        <v>0</v>
      </c>
      <c r="I8" s="21" t="n">
        <f aca="false">IF(F8="Intra-state",G8*Instructions!$C$16/2,0)</f>
        <v>0</v>
      </c>
      <c r="J8" s="21" t="n">
        <f aca="false">IF(F8="Inter-state",G8*Instructions!$C$16,0)</f>
        <v>11835</v>
      </c>
      <c r="K8" s="21" t="n">
        <f aca="false">H8+I8+J8</f>
        <v>11835</v>
      </c>
      <c r="L8" s="21" t="n">
        <f aca="false">G8+K8</f>
        <v>77585</v>
      </c>
      <c r="M8" s="32" t="str">
        <f aca="false">IF(ISNUMBER(MATCH(B8,'Purchase Register'!$B$2:$B$26,0)),"Yes","No")</f>
        <v>Yes</v>
      </c>
      <c r="N8" s="32" t="str">
        <f aca="false">IF(M8="No","Not in Purchase Register",IF(COUNTIF($B$2:$B$25,B8)&gt;1,"Duplicate filing","-"))</f>
        <v>Duplicate filing</v>
      </c>
    </row>
    <row r="9" customFormat="false" ht="15" hidden="false" customHeight="false" outlineLevel="0" collapsed="false">
      <c r="A9" s="27" t="n">
        <v>8</v>
      </c>
      <c r="B9" s="27" t="s">
        <v>90</v>
      </c>
      <c r="C9" s="27" t="s">
        <v>91</v>
      </c>
      <c r="D9" s="27" t="s">
        <v>92</v>
      </c>
      <c r="E9" s="28" t="n">
        <v>46245</v>
      </c>
      <c r="F9" s="27" t="s">
        <v>86</v>
      </c>
      <c r="G9" s="29" t="n">
        <v>65750</v>
      </c>
      <c r="H9" s="21" t="n">
        <f aca="false">IF(F9="Intra-state",G9*Instructions!$C$16/2,0)</f>
        <v>0</v>
      </c>
      <c r="I9" s="21" t="n">
        <f aca="false">IF(F9="Intra-state",G9*Instructions!$C$16/2,0)</f>
        <v>0</v>
      </c>
      <c r="J9" s="21" t="n">
        <f aca="false">IF(F9="Inter-state",G9*Instructions!$C$16,0)</f>
        <v>11835</v>
      </c>
      <c r="K9" s="21" t="n">
        <f aca="false">H9+I9+J9</f>
        <v>11835</v>
      </c>
      <c r="L9" s="21" t="n">
        <f aca="false">G9+K9</f>
        <v>77585</v>
      </c>
      <c r="M9" s="32" t="str">
        <f aca="false">IF(ISNUMBER(MATCH(B9,'Purchase Register'!$B$2:$B$26,0)),"Yes","No")</f>
        <v>Yes</v>
      </c>
      <c r="N9" s="32" t="str">
        <f aca="false">IF(M9="No","Not in Purchase Register",IF(COUNTIF($B$2:$B$25,B9)&gt;1,"Duplicate filing","-"))</f>
        <v>Duplicate filing</v>
      </c>
    </row>
    <row r="10" customFormat="false" ht="15" hidden="false" customHeight="false" outlineLevel="0" collapsed="false">
      <c r="A10" s="27" t="n">
        <v>9</v>
      </c>
      <c r="B10" s="27" t="s">
        <v>93</v>
      </c>
      <c r="C10" s="27" t="s">
        <v>94</v>
      </c>
      <c r="D10" s="27" t="s">
        <v>95</v>
      </c>
      <c r="E10" s="28" t="n">
        <v>46202</v>
      </c>
      <c r="F10" s="27" t="s">
        <v>86</v>
      </c>
      <c r="G10" s="29" t="n">
        <v>129500</v>
      </c>
      <c r="H10" s="21" t="n">
        <f aca="false">IF(F10="Intra-state",G10*Instructions!$C$16/2,0)</f>
        <v>0</v>
      </c>
      <c r="I10" s="21" t="n">
        <f aca="false">IF(F10="Intra-state",G10*Instructions!$C$16/2,0)</f>
        <v>0</v>
      </c>
      <c r="J10" s="21" t="n">
        <f aca="false">IF(F10="Inter-state",G10*Instructions!$C$16,0)</f>
        <v>23310</v>
      </c>
      <c r="K10" s="21" t="n">
        <f aca="false">H10+I10+J10</f>
        <v>23310</v>
      </c>
      <c r="L10" s="21" t="n">
        <f aca="false">G10+K10</f>
        <v>152810</v>
      </c>
      <c r="M10" s="32" t="str">
        <f aca="false">IF(ISNUMBER(MATCH(B10,'Purchase Register'!$B$2:$B$26,0)),"Yes","No")</f>
        <v>Yes</v>
      </c>
      <c r="N10" s="32" t="str">
        <f aca="false">IF(M10="No","Not in Purchase Register",IF(COUNTIF($B$2:$B$25,B10)&gt;1,"Duplicate filing","-"))</f>
        <v>-</v>
      </c>
    </row>
    <row r="11" customFormat="false" ht="15" hidden="false" customHeight="false" outlineLevel="0" collapsed="false">
      <c r="A11" s="27" t="n">
        <v>10</v>
      </c>
      <c r="B11" s="27" t="s">
        <v>96</v>
      </c>
      <c r="C11" s="27" t="s">
        <v>97</v>
      </c>
      <c r="D11" s="27" t="s">
        <v>98</v>
      </c>
      <c r="E11" s="28" t="n">
        <v>46174</v>
      </c>
      <c r="F11" s="27" t="s">
        <v>86</v>
      </c>
      <c r="G11" s="29" t="n">
        <v>209250</v>
      </c>
      <c r="H11" s="21" t="n">
        <f aca="false">IF(F11="Intra-state",G11*Instructions!$C$16/2,0)</f>
        <v>0</v>
      </c>
      <c r="I11" s="21" t="n">
        <f aca="false">IF(F11="Intra-state",G11*Instructions!$C$16/2,0)</f>
        <v>0</v>
      </c>
      <c r="J11" s="21" t="n">
        <f aca="false">IF(F11="Inter-state",G11*Instructions!$C$16,0)</f>
        <v>37665</v>
      </c>
      <c r="K11" s="21" t="n">
        <f aca="false">H11+I11+J11</f>
        <v>37665</v>
      </c>
      <c r="L11" s="21" t="n">
        <f aca="false">G11+K11</f>
        <v>246915</v>
      </c>
      <c r="M11" s="32" t="str">
        <f aca="false">IF(ISNUMBER(MATCH(B11,'Purchase Register'!$B$2:$B$26,0)),"Yes","No")</f>
        <v>Yes</v>
      </c>
      <c r="N11" s="32" t="str">
        <f aca="false">IF(M11="No","Not in Purchase Register",IF(COUNTIF($B$2:$B$25,B11)&gt;1,"Duplicate filing","-"))</f>
        <v>-</v>
      </c>
    </row>
    <row r="12" customFormat="false" ht="15" hidden="false" customHeight="false" outlineLevel="0" collapsed="false">
      <c r="A12" s="27" t="n">
        <v>11</v>
      </c>
      <c r="B12" s="27" t="s">
        <v>99</v>
      </c>
      <c r="C12" s="27" t="s">
        <v>68</v>
      </c>
      <c r="D12" s="27" t="s">
        <v>69</v>
      </c>
      <c r="E12" s="28" t="n">
        <v>46263</v>
      </c>
      <c r="F12" s="27" t="s">
        <v>70</v>
      </c>
      <c r="G12" s="29" t="n">
        <v>123500</v>
      </c>
      <c r="H12" s="21" t="n">
        <f aca="false">IF(F12="Intra-state",G12*Instructions!$C$16/2,0)</f>
        <v>11115</v>
      </c>
      <c r="I12" s="21" t="n">
        <f aca="false">IF(F12="Intra-state",G12*Instructions!$C$16/2,0)</f>
        <v>11115</v>
      </c>
      <c r="J12" s="21" t="n">
        <f aca="false">IF(F12="Inter-state",G12*Instructions!$C$16,0)</f>
        <v>0</v>
      </c>
      <c r="K12" s="21" t="n">
        <f aca="false">H12+I12+J12</f>
        <v>22230</v>
      </c>
      <c r="L12" s="21" t="n">
        <f aca="false">G12+K12</f>
        <v>145730</v>
      </c>
      <c r="M12" s="32" t="str">
        <f aca="false">IF(ISNUMBER(MATCH(B12,'Purchase Register'!$B$2:$B$26,0)),"Yes","No")</f>
        <v>Yes</v>
      </c>
      <c r="N12" s="32" t="str">
        <f aca="false">IF(M12="No","Not in Purchase Register",IF(COUNTIF($B$2:$B$25,B12)&gt;1,"Duplicate filing","-"))</f>
        <v>-</v>
      </c>
    </row>
    <row r="13" customFormat="false" ht="15" hidden="false" customHeight="false" outlineLevel="0" collapsed="false">
      <c r="A13" s="27" t="n">
        <v>12</v>
      </c>
      <c r="B13" s="27" t="s">
        <v>100</v>
      </c>
      <c r="C13" s="27" t="s">
        <v>72</v>
      </c>
      <c r="D13" s="27" t="s">
        <v>73</v>
      </c>
      <c r="E13" s="28" t="n">
        <v>46209</v>
      </c>
      <c r="F13" s="27" t="s">
        <v>70</v>
      </c>
      <c r="G13" s="29" t="n">
        <v>54250</v>
      </c>
      <c r="H13" s="21" t="n">
        <f aca="false">IF(F13="Intra-state",G13*Instructions!$C$16/2,0)</f>
        <v>4882.5</v>
      </c>
      <c r="I13" s="21" t="n">
        <f aca="false">IF(F13="Intra-state",G13*Instructions!$C$16/2,0)</f>
        <v>4882.5</v>
      </c>
      <c r="J13" s="21" t="n">
        <f aca="false">IF(F13="Inter-state",G13*Instructions!$C$16,0)</f>
        <v>0</v>
      </c>
      <c r="K13" s="21" t="n">
        <f aca="false">H13+I13+J13</f>
        <v>9765</v>
      </c>
      <c r="L13" s="21" t="n">
        <f aca="false">G13+K13</f>
        <v>64015</v>
      </c>
      <c r="M13" s="32" t="str">
        <f aca="false">IF(ISNUMBER(MATCH(B13,'Purchase Register'!$B$2:$B$26,0)),"Yes","No")</f>
        <v>Yes</v>
      </c>
      <c r="N13" s="32" t="str">
        <f aca="false">IF(M13="No","Not in Purchase Register",IF(COUNTIF($B$2:$B$25,B13)&gt;1,"Duplicate filing","-"))</f>
        <v>-</v>
      </c>
    </row>
    <row r="14" customFormat="false" ht="15" hidden="false" customHeight="false" outlineLevel="0" collapsed="false">
      <c r="A14" s="27" t="n">
        <v>13</v>
      </c>
      <c r="B14" s="27" t="s">
        <v>102</v>
      </c>
      <c r="C14" s="27" t="s">
        <v>78</v>
      </c>
      <c r="D14" s="27" t="s">
        <v>79</v>
      </c>
      <c r="E14" s="28" t="n">
        <v>46222</v>
      </c>
      <c r="F14" s="27" t="s">
        <v>70</v>
      </c>
      <c r="G14" s="29" t="n">
        <v>39500</v>
      </c>
      <c r="H14" s="21" t="n">
        <f aca="false">IF(F14="Intra-state",G14*Instructions!$C$16/2,0)</f>
        <v>3555</v>
      </c>
      <c r="I14" s="21" t="n">
        <f aca="false">IF(F14="Intra-state",G14*Instructions!$C$16/2,0)</f>
        <v>3555</v>
      </c>
      <c r="J14" s="21" t="n">
        <f aca="false">IF(F14="Inter-state",G14*Instructions!$C$16,0)</f>
        <v>0</v>
      </c>
      <c r="K14" s="21" t="n">
        <f aca="false">H14+I14+J14</f>
        <v>7110</v>
      </c>
      <c r="L14" s="21" t="n">
        <f aca="false">G14+K14</f>
        <v>46610</v>
      </c>
      <c r="M14" s="32" t="str">
        <f aca="false">IF(ISNUMBER(MATCH(B14,'Purchase Register'!$B$2:$B$26,0)),"Yes","No")</f>
        <v>Yes</v>
      </c>
      <c r="N14" s="32" t="str">
        <f aca="false">IF(M14="No","Not in Purchase Register",IF(COUNTIF($B$2:$B$25,B14)&gt;1,"Duplicate filing","-"))</f>
        <v>-</v>
      </c>
    </row>
    <row r="15" customFormat="false" ht="15" hidden="false" customHeight="false" outlineLevel="0" collapsed="false">
      <c r="A15" s="27" t="n">
        <v>14</v>
      </c>
      <c r="B15" s="27" t="s">
        <v>103</v>
      </c>
      <c r="C15" s="27" t="s">
        <v>81</v>
      </c>
      <c r="D15" s="27" t="s">
        <v>82</v>
      </c>
      <c r="E15" s="28" t="n">
        <v>46218</v>
      </c>
      <c r="F15" s="27" t="s">
        <v>70</v>
      </c>
      <c r="G15" s="29" t="n">
        <v>169500</v>
      </c>
      <c r="H15" s="21" t="n">
        <f aca="false">IF(F15="Intra-state",G15*Instructions!$C$16/2,0)</f>
        <v>15255</v>
      </c>
      <c r="I15" s="21" t="n">
        <f aca="false">IF(F15="Intra-state",G15*Instructions!$C$16/2,0)</f>
        <v>15255</v>
      </c>
      <c r="J15" s="21" t="n">
        <f aca="false">IF(F15="Inter-state",G15*Instructions!$C$16,0)</f>
        <v>0</v>
      </c>
      <c r="K15" s="21" t="n">
        <f aca="false">H15+I15+J15</f>
        <v>30510</v>
      </c>
      <c r="L15" s="21" t="n">
        <f aca="false">G15+K15</f>
        <v>200010</v>
      </c>
      <c r="M15" s="32" t="str">
        <f aca="false">IF(ISNUMBER(MATCH(B15,'Purchase Register'!$B$2:$B$26,0)),"Yes","No")</f>
        <v>Yes</v>
      </c>
      <c r="N15" s="32" t="str">
        <f aca="false">IF(M15="No","Not in Purchase Register",IF(COUNTIF($B$2:$B$25,B15)&gt;1,"Duplicate filing","-"))</f>
        <v>-</v>
      </c>
    </row>
    <row r="16" customFormat="false" ht="15" hidden="false" customHeight="false" outlineLevel="0" collapsed="false">
      <c r="A16" s="27" t="n">
        <v>15</v>
      </c>
      <c r="B16" s="27" t="s">
        <v>104</v>
      </c>
      <c r="C16" s="27" t="s">
        <v>84</v>
      </c>
      <c r="D16" s="27" t="s">
        <v>85</v>
      </c>
      <c r="E16" s="28" t="n">
        <v>46179</v>
      </c>
      <c r="F16" s="27" t="s">
        <v>86</v>
      </c>
      <c r="G16" s="29" t="n">
        <v>201750</v>
      </c>
      <c r="H16" s="21" t="n">
        <f aca="false">IF(F16="Intra-state",G16*Instructions!$C$16/2,0)</f>
        <v>0</v>
      </c>
      <c r="I16" s="21" t="n">
        <f aca="false">IF(F16="Intra-state",G16*Instructions!$C$16/2,0)</f>
        <v>0</v>
      </c>
      <c r="J16" s="21" t="n">
        <f aca="false">IF(F16="Inter-state",G16*Instructions!$C$16,0)</f>
        <v>36315</v>
      </c>
      <c r="K16" s="21" t="n">
        <f aca="false">H16+I16+J16</f>
        <v>36315</v>
      </c>
      <c r="L16" s="21" t="n">
        <f aca="false">G16+K16</f>
        <v>238065</v>
      </c>
      <c r="M16" s="32" t="str">
        <f aca="false">IF(ISNUMBER(MATCH(B16,'Purchase Register'!$B$2:$B$26,0)),"Yes","No")</f>
        <v>Yes</v>
      </c>
      <c r="N16" s="32" t="str">
        <f aca="false">IF(M16="No","Not in Purchase Register",IF(COUNTIF($B$2:$B$25,B16)&gt;1,"Duplicate filing","-"))</f>
        <v>-</v>
      </c>
    </row>
    <row r="17" customFormat="false" ht="15" hidden="false" customHeight="false" outlineLevel="0" collapsed="false">
      <c r="A17" s="27" t="n">
        <v>16</v>
      </c>
      <c r="B17" s="27" t="s">
        <v>105</v>
      </c>
      <c r="C17" s="27" t="s">
        <v>88</v>
      </c>
      <c r="D17" s="27" t="s">
        <v>89</v>
      </c>
      <c r="E17" s="28" t="n">
        <v>46242</v>
      </c>
      <c r="F17" s="27" t="s">
        <v>86</v>
      </c>
      <c r="G17" s="29" t="n">
        <v>46750</v>
      </c>
      <c r="H17" s="21" t="n">
        <f aca="false">IF(F17="Intra-state",G17*Instructions!$C$16/2,0)</f>
        <v>0</v>
      </c>
      <c r="I17" s="21" t="n">
        <f aca="false">IF(F17="Intra-state",G17*Instructions!$C$16/2,0)</f>
        <v>0</v>
      </c>
      <c r="J17" s="21" t="n">
        <f aca="false">IF(F17="Inter-state",G17*Instructions!$C$16,0)</f>
        <v>8415</v>
      </c>
      <c r="K17" s="21" t="n">
        <f aca="false">H17+I17+J17</f>
        <v>8415</v>
      </c>
      <c r="L17" s="21" t="n">
        <f aca="false">G17+K17</f>
        <v>55165</v>
      </c>
      <c r="M17" s="32" t="str">
        <f aca="false">IF(ISNUMBER(MATCH(B17,'Purchase Register'!$B$2:$B$26,0)),"Yes","No")</f>
        <v>Yes</v>
      </c>
      <c r="N17" s="32" t="str">
        <f aca="false">IF(M17="No","Not in Purchase Register",IF(COUNTIF($B$2:$B$25,B17)&gt;1,"Duplicate filing","-"))</f>
        <v>-</v>
      </c>
    </row>
    <row r="18" customFormat="false" ht="15" hidden="false" customHeight="false" outlineLevel="0" collapsed="false">
      <c r="A18" s="27" t="n">
        <v>17</v>
      </c>
      <c r="B18" s="27" t="s">
        <v>106</v>
      </c>
      <c r="C18" s="27" t="s">
        <v>91</v>
      </c>
      <c r="D18" s="27" t="s">
        <v>92</v>
      </c>
      <c r="E18" s="28" t="n">
        <v>46184</v>
      </c>
      <c r="F18" s="27" t="s">
        <v>86</v>
      </c>
      <c r="G18" s="29" t="n">
        <v>154700</v>
      </c>
      <c r="H18" s="21" t="n">
        <f aca="false">IF(F18="Intra-state",G18*Instructions!$C$16/2,0)</f>
        <v>0</v>
      </c>
      <c r="I18" s="21" t="n">
        <f aca="false">IF(F18="Intra-state",G18*Instructions!$C$16/2,0)</f>
        <v>0</v>
      </c>
      <c r="J18" s="21" t="n">
        <f aca="false">IF(F18="Inter-state",G18*Instructions!$C$16,0)</f>
        <v>27846</v>
      </c>
      <c r="K18" s="21" t="n">
        <f aca="false">H18+I18+J18</f>
        <v>27846</v>
      </c>
      <c r="L18" s="21" t="n">
        <f aca="false">G18+K18</f>
        <v>182546</v>
      </c>
      <c r="M18" s="32" t="str">
        <f aca="false">IF(ISNUMBER(MATCH(B18,'Purchase Register'!$B$2:$B$26,0)),"Yes","No")</f>
        <v>Yes</v>
      </c>
      <c r="N18" s="32" t="str">
        <f aca="false">IF(M18="No","Not in Purchase Register",IF(COUNTIF($B$2:$B$25,B18)&gt;1,"Duplicate filing","-"))</f>
        <v>-</v>
      </c>
    </row>
    <row r="19" customFormat="false" ht="15" hidden="false" customHeight="false" outlineLevel="0" collapsed="false">
      <c r="A19" s="27" t="n">
        <v>18</v>
      </c>
      <c r="B19" s="27" t="s">
        <v>107</v>
      </c>
      <c r="C19" s="27" t="s">
        <v>94</v>
      </c>
      <c r="D19" s="27" t="s">
        <v>95</v>
      </c>
      <c r="E19" s="28" t="n">
        <v>46254</v>
      </c>
      <c r="F19" s="27" t="s">
        <v>86</v>
      </c>
      <c r="G19" s="29" t="n">
        <v>173500</v>
      </c>
      <c r="H19" s="21" t="n">
        <f aca="false">IF(F19="Intra-state",G19*Instructions!$C$16/2,0)</f>
        <v>0</v>
      </c>
      <c r="I19" s="21" t="n">
        <f aca="false">IF(F19="Intra-state",G19*Instructions!$C$16/2,0)</f>
        <v>0</v>
      </c>
      <c r="J19" s="21" t="n">
        <f aca="false">IF(F19="Inter-state",G19*Instructions!$C$16,0)</f>
        <v>31230</v>
      </c>
      <c r="K19" s="21" t="n">
        <f aca="false">H19+I19+J19</f>
        <v>31230</v>
      </c>
      <c r="L19" s="21" t="n">
        <f aca="false">G19+K19</f>
        <v>204730</v>
      </c>
      <c r="M19" s="32" t="str">
        <f aca="false">IF(ISNUMBER(MATCH(B19,'Purchase Register'!$B$2:$B$26,0)),"Yes","No")</f>
        <v>Yes</v>
      </c>
      <c r="N19" s="32" t="str">
        <f aca="false">IF(M19="No","Not in Purchase Register",IF(COUNTIF($B$2:$B$25,B19)&gt;1,"Duplicate filing","-"))</f>
        <v>-</v>
      </c>
    </row>
    <row r="20" customFormat="false" ht="15" hidden="false" customHeight="false" outlineLevel="0" collapsed="false">
      <c r="A20" s="27" t="n">
        <v>19</v>
      </c>
      <c r="B20" s="27" t="s">
        <v>108</v>
      </c>
      <c r="C20" s="27" t="s">
        <v>97</v>
      </c>
      <c r="D20" s="27" t="s">
        <v>98</v>
      </c>
      <c r="E20" s="28" t="n">
        <v>46247</v>
      </c>
      <c r="F20" s="27" t="s">
        <v>86</v>
      </c>
      <c r="G20" s="29" t="n">
        <v>64000</v>
      </c>
      <c r="H20" s="21" t="n">
        <f aca="false">IF(F20="Intra-state",G20*Instructions!$C$16/2,0)</f>
        <v>0</v>
      </c>
      <c r="I20" s="21" t="n">
        <f aca="false">IF(F20="Intra-state",G20*Instructions!$C$16/2,0)</f>
        <v>0</v>
      </c>
      <c r="J20" s="21" t="n">
        <f aca="false">IF(F20="Inter-state",G20*Instructions!$C$16,0)</f>
        <v>11520</v>
      </c>
      <c r="K20" s="21" t="n">
        <f aca="false">H20+I20+J20</f>
        <v>11520</v>
      </c>
      <c r="L20" s="21" t="n">
        <f aca="false">G20+K20</f>
        <v>75520</v>
      </c>
      <c r="M20" s="32" t="str">
        <f aca="false">IF(ISNUMBER(MATCH(B20,'Purchase Register'!$B$2:$B$26,0)),"Yes","No")</f>
        <v>Yes</v>
      </c>
      <c r="N20" s="32" t="str">
        <f aca="false">IF(M20="No","Not in Purchase Register",IF(COUNTIF($B$2:$B$25,B20)&gt;1,"Duplicate filing","-"))</f>
        <v>-</v>
      </c>
    </row>
    <row r="21" customFormat="false" ht="15" hidden="false" customHeight="false" outlineLevel="0" collapsed="false">
      <c r="A21" s="27" t="n">
        <v>20</v>
      </c>
      <c r="B21" s="27" t="s">
        <v>110</v>
      </c>
      <c r="C21" s="27" t="s">
        <v>72</v>
      </c>
      <c r="D21" s="27" t="s">
        <v>73</v>
      </c>
      <c r="E21" s="28" t="n">
        <v>46211</v>
      </c>
      <c r="F21" s="27" t="s">
        <v>70</v>
      </c>
      <c r="G21" s="29" t="n">
        <v>35250</v>
      </c>
      <c r="H21" s="21" t="n">
        <f aca="false">IF(F21="Intra-state",G21*Instructions!$C$16/2,0)</f>
        <v>3172.5</v>
      </c>
      <c r="I21" s="21" t="n">
        <f aca="false">IF(F21="Intra-state",G21*Instructions!$C$16/2,0)</f>
        <v>3172.5</v>
      </c>
      <c r="J21" s="21" t="n">
        <f aca="false">IF(F21="Inter-state",G21*Instructions!$C$16,0)</f>
        <v>0</v>
      </c>
      <c r="K21" s="21" t="n">
        <f aca="false">H21+I21+J21</f>
        <v>6345</v>
      </c>
      <c r="L21" s="21" t="n">
        <f aca="false">G21+K21</f>
        <v>41595</v>
      </c>
      <c r="M21" s="32" t="str">
        <f aca="false">IF(ISNUMBER(MATCH(B21,'Purchase Register'!$B$2:$B$26,0)),"Yes","No")</f>
        <v>Yes</v>
      </c>
      <c r="N21" s="32" t="str">
        <f aca="false">IF(M21="No","Not in Purchase Register",IF(COUNTIF($B$2:$B$25,B21)&gt;1,"Duplicate filing","-"))</f>
        <v>-</v>
      </c>
    </row>
    <row r="22" customFormat="false" ht="15" hidden="false" customHeight="false" outlineLevel="0" collapsed="false">
      <c r="A22" s="27" t="n">
        <v>21</v>
      </c>
      <c r="B22" s="27" t="s">
        <v>111</v>
      </c>
      <c r="C22" s="27" t="s">
        <v>75</v>
      </c>
      <c r="D22" s="27" t="s">
        <v>76</v>
      </c>
      <c r="E22" s="28" t="n">
        <v>46186</v>
      </c>
      <c r="F22" s="27" t="s">
        <v>70</v>
      </c>
      <c r="G22" s="29" t="n">
        <v>112500</v>
      </c>
      <c r="H22" s="21" t="n">
        <f aca="false">IF(F22="Intra-state",G22*Instructions!$C$16/2,0)</f>
        <v>10125</v>
      </c>
      <c r="I22" s="21" t="n">
        <f aca="false">IF(F22="Intra-state",G22*Instructions!$C$16/2,0)</f>
        <v>10125</v>
      </c>
      <c r="J22" s="21" t="n">
        <f aca="false">IF(F22="Inter-state",G22*Instructions!$C$16,0)</f>
        <v>0</v>
      </c>
      <c r="K22" s="21" t="n">
        <f aca="false">H22+I22+J22</f>
        <v>20250</v>
      </c>
      <c r="L22" s="21" t="n">
        <f aca="false">G22+K22</f>
        <v>132750</v>
      </c>
      <c r="M22" s="32" t="str">
        <f aca="false">IF(ISNUMBER(MATCH(B22,'Purchase Register'!$B$2:$B$26,0)),"Yes","No")</f>
        <v>Yes</v>
      </c>
      <c r="N22" s="32" t="str">
        <f aca="false">IF(M22="No","Not in Purchase Register",IF(COUNTIF($B$2:$B$25,B22)&gt;1,"Duplicate filing","-"))</f>
        <v>-</v>
      </c>
    </row>
    <row r="23" customFormat="false" ht="15" hidden="false" customHeight="false" outlineLevel="0" collapsed="false">
      <c r="A23" s="27" t="n">
        <v>22</v>
      </c>
      <c r="B23" s="27" t="s">
        <v>112</v>
      </c>
      <c r="C23" s="27" t="s">
        <v>78</v>
      </c>
      <c r="D23" s="27" t="s">
        <v>79</v>
      </c>
      <c r="E23" s="28" t="n">
        <v>46232</v>
      </c>
      <c r="F23" s="27" t="s">
        <v>70</v>
      </c>
      <c r="G23" s="29" t="n">
        <v>177500</v>
      </c>
      <c r="H23" s="21" t="n">
        <f aca="false">IF(F23="Intra-state",G23*Instructions!$C$16/2,0)</f>
        <v>15975</v>
      </c>
      <c r="I23" s="21" t="n">
        <f aca="false">IF(F23="Intra-state",G23*Instructions!$C$16/2,0)</f>
        <v>15975</v>
      </c>
      <c r="J23" s="21" t="n">
        <f aca="false">IF(F23="Inter-state",G23*Instructions!$C$16,0)</f>
        <v>0</v>
      </c>
      <c r="K23" s="21" t="n">
        <f aca="false">H23+I23+J23</f>
        <v>31950</v>
      </c>
      <c r="L23" s="21" t="n">
        <f aca="false">G23+K23</f>
        <v>209450</v>
      </c>
      <c r="M23" s="32" t="str">
        <f aca="false">IF(ISNUMBER(MATCH(B23,'Purchase Register'!$B$2:$B$26,0)),"Yes","No")</f>
        <v>Yes</v>
      </c>
      <c r="N23" s="32" t="str">
        <f aca="false">IF(M23="No","Not in Purchase Register",IF(COUNTIF($B$2:$B$25,B23)&gt;1,"Duplicate filing","-"))</f>
        <v>-</v>
      </c>
    </row>
    <row r="24" customFormat="false" ht="15" hidden="false" customHeight="false" outlineLevel="0" collapsed="false">
      <c r="A24" s="27" t="n">
        <v>23</v>
      </c>
      <c r="B24" s="27" t="s">
        <v>113</v>
      </c>
      <c r="C24" s="27" t="s">
        <v>81</v>
      </c>
      <c r="D24" s="27" t="s">
        <v>82</v>
      </c>
      <c r="E24" s="28" t="n">
        <v>46194</v>
      </c>
      <c r="F24" s="27" t="s">
        <v>70</v>
      </c>
      <c r="G24" s="29" t="n">
        <v>109500</v>
      </c>
      <c r="H24" s="21" t="n">
        <f aca="false">IF(F24="Intra-state",G24*Instructions!$C$16/2,0)</f>
        <v>9855</v>
      </c>
      <c r="I24" s="21" t="n">
        <f aca="false">IF(F24="Intra-state",G24*Instructions!$C$16/2,0)</f>
        <v>9855</v>
      </c>
      <c r="J24" s="21" t="n">
        <f aca="false">IF(F24="Inter-state",G24*Instructions!$C$16,0)</f>
        <v>0</v>
      </c>
      <c r="K24" s="21" t="n">
        <f aca="false">H24+I24+J24</f>
        <v>19710</v>
      </c>
      <c r="L24" s="21" t="n">
        <f aca="false">G24+K24</f>
        <v>129210</v>
      </c>
      <c r="M24" s="32" t="str">
        <f aca="false">IF(ISNUMBER(MATCH(B24,'Purchase Register'!$B$2:$B$26,0)),"Yes","No")</f>
        <v>Yes</v>
      </c>
      <c r="N24" s="32" t="str">
        <f aca="false">IF(M24="No","Not in Purchase Register",IF(COUNTIF($B$2:$B$25,B24)&gt;1,"Duplicate filing","-"))</f>
        <v>-</v>
      </c>
    </row>
    <row r="25" customFormat="false" ht="15" hidden="false" customHeight="false" outlineLevel="0" collapsed="false">
      <c r="A25" s="27" t="n">
        <v>24</v>
      </c>
      <c r="B25" s="27" t="s">
        <v>117</v>
      </c>
      <c r="C25" s="27" t="s">
        <v>72</v>
      </c>
      <c r="D25" s="27" t="s">
        <v>73</v>
      </c>
      <c r="E25" s="28" t="n">
        <v>46225</v>
      </c>
      <c r="F25" s="27" t="s">
        <v>70</v>
      </c>
      <c r="G25" s="29" t="n">
        <v>42500</v>
      </c>
      <c r="H25" s="21" t="n">
        <f aca="false">IF(F25="Intra-state",G25*Instructions!$C$16/2,0)</f>
        <v>3825</v>
      </c>
      <c r="I25" s="21" t="n">
        <f aca="false">IF(F25="Intra-state",G25*Instructions!$C$16/2,0)</f>
        <v>3825</v>
      </c>
      <c r="J25" s="21" t="n">
        <f aca="false">IF(F25="Inter-state",G25*Instructions!$C$16,0)</f>
        <v>0</v>
      </c>
      <c r="K25" s="21" t="n">
        <f aca="false">H25+I25+J25</f>
        <v>7650</v>
      </c>
      <c r="L25" s="21" t="n">
        <f aca="false">G25+K25</f>
        <v>50150</v>
      </c>
      <c r="M25" s="32" t="str">
        <f aca="false">IF(ISNUMBER(MATCH(B25,'Purchase Register'!$B$2:$B$26,0)),"Yes","No")</f>
        <v>No</v>
      </c>
      <c r="N25" s="32" t="str">
        <f aca="false">IF(M25="No","Not in Purchase Register",IF(COUNTIF($B$2:$B$25,B25)&gt;1,"Duplicate filing","-"))</f>
        <v>Not in Purchase Register</v>
      </c>
    </row>
    <row r="26" customFormat="false" ht="15" hidden="false" customHeight="false" outlineLevel="0" collapsed="false">
      <c r="F26" s="30" t="s">
        <v>114</v>
      </c>
      <c r="G26" s="31" t="n">
        <f aca="false">SUM(G2:G25)</f>
        <v>2686950</v>
      </c>
      <c r="H26" s="31" t="n">
        <f aca="false">SUM(H2:H25)</f>
        <v>125437.5</v>
      </c>
      <c r="I26" s="31" t="n">
        <f aca="false">SUM(I2:I25)</f>
        <v>125437.5</v>
      </c>
      <c r="J26" s="31" t="n">
        <f aca="false">SUM(J2:J25)</f>
        <v>232776</v>
      </c>
      <c r="K26" s="31" t="n">
        <f aca="false">SUM(K2:K25)</f>
        <v>483651</v>
      </c>
      <c r="L26" s="31" t="n">
        <f aca="false">SUM(L2:L25)</f>
        <v>3170601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26" t="s">
        <v>55</v>
      </c>
      <c r="B1" s="26" t="s">
        <v>56</v>
      </c>
      <c r="C1" s="26" t="s">
        <v>57</v>
      </c>
      <c r="D1" s="26" t="s">
        <v>118</v>
      </c>
      <c r="E1" s="26" t="s">
        <v>119</v>
      </c>
      <c r="F1" s="26" t="s">
        <v>120</v>
      </c>
      <c r="G1" s="26" t="s">
        <v>121</v>
      </c>
      <c r="H1" s="26" t="s">
        <v>122</v>
      </c>
      <c r="I1" s="26" t="s">
        <v>123</v>
      </c>
      <c r="J1" s="26" t="s">
        <v>47</v>
      </c>
    </row>
    <row r="2" customFormat="false" ht="15" hidden="false" customHeight="false" outlineLevel="0" collapsed="false">
      <c r="A2" s="32" t="n">
        <v>1</v>
      </c>
      <c r="B2" s="33" t="str">
        <f aca="false">'Purchase Register'!B2</f>
        <v>INV-1001</v>
      </c>
      <c r="C2" s="33" t="str">
        <f aca="false">'Purchase Register'!C2</f>
        <v>Shree Enterprises</v>
      </c>
      <c r="D2" s="34" t="n">
        <f aca="false">'Purchase Register'!G2</f>
        <v>43000</v>
      </c>
      <c r="E2" s="34" t="n">
        <f aca="false">'Purchase Register'!K2</f>
        <v>7740</v>
      </c>
      <c r="F2" s="35" t="b">
        <f aca="false">ISNUMBER(MATCH(B2,'GSTR-2B'!$B$2:$B$25,0))</f>
        <v>1</v>
      </c>
      <c r="G2" s="21" t="n">
        <f aca="false">IF(F2,INDEX('GSTR-2B'!$G$2:$G$25,MATCH(B2,'GSTR-2B'!$B$2:$B$25,0)),0)</f>
        <v>43000</v>
      </c>
      <c r="H2" s="21" t="n">
        <f aca="false">IF(F2,INDEX('GSTR-2B'!$K$2:$K$25,MATCH(B2,'GSTR-2B'!$B$2:$B$25,0)),0)</f>
        <v>7740</v>
      </c>
      <c r="I2" s="36" t="n">
        <f aca="false">E2-H2</f>
        <v>0</v>
      </c>
      <c r="J2" s="37" t="str">
        <f aca="false">IF(F2=FALSE(),"Missing in 2B",IF(I2&lt;&gt;0,"Amount Mismatch","Matched"))</f>
        <v>Matched</v>
      </c>
    </row>
    <row r="3" customFormat="false" ht="15" hidden="false" customHeight="false" outlineLevel="0" collapsed="false">
      <c r="A3" s="32" t="n">
        <v>2</v>
      </c>
      <c r="B3" s="33" t="str">
        <f aca="false">'Purchase Register'!B3</f>
        <v>INV-1002</v>
      </c>
      <c r="C3" s="33" t="str">
        <f aca="false">'Purchase Register'!C3</f>
        <v>Om Traders</v>
      </c>
      <c r="D3" s="34" t="n">
        <f aca="false">'Purchase Register'!G3</f>
        <v>77250</v>
      </c>
      <c r="E3" s="34" t="n">
        <f aca="false">'Purchase Register'!K3</f>
        <v>13905</v>
      </c>
      <c r="F3" s="35" t="b">
        <f aca="false">ISNUMBER(MATCH(B3,'GSTR-2B'!$B$2:$B$25,0))</f>
        <v>1</v>
      </c>
      <c r="G3" s="21" t="n">
        <f aca="false">IF(F3,INDEX('GSTR-2B'!$G$2:$G$25,MATCH(B3,'GSTR-2B'!$B$2:$B$25,0)),0)</f>
        <v>77250</v>
      </c>
      <c r="H3" s="21" t="n">
        <f aca="false">IF(F3,INDEX('GSTR-2B'!$K$2:$K$25,MATCH(B3,'GSTR-2B'!$B$2:$B$25,0)),0)</f>
        <v>13905</v>
      </c>
      <c r="I3" s="36" t="n">
        <f aca="false">E3-H3</f>
        <v>0</v>
      </c>
      <c r="J3" s="37" t="str">
        <f aca="false">IF(F3=FALSE(),"Missing in 2B",IF(I3&lt;&gt;0,"Amount Mismatch","Matched"))</f>
        <v>Matched</v>
      </c>
    </row>
    <row r="4" customFormat="false" ht="15" hidden="false" customHeight="false" outlineLevel="0" collapsed="false">
      <c r="A4" s="32" t="n">
        <v>3</v>
      </c>
      <c r="B4" s="33" t="str">
        <f aca="false">'Purchase Register'!B4</f>
        <v>INV-1003</v>
      </c>
      <c r="C4" s="33" t="str">
        <f aca="false">'Purchase Register'!C4</f>
        <v>Bangalore Steel Corp</v>
      </c>
      <c r="D4" s="34" t="n">
        <f aca="false">'Purchase Register'!G4</f>
        <v>203000</v>
      </c>
      <c r="E4" s="34" t="n">
        <f aca="false">'Purchase Register'!K4</f>
        <v>36540</v>
      </c>
      <c r="F4" s="35" t="b">
        <f aca="false">ISNUMBER(MATCH(B4,'GSTR-2B'!$B$2:$B$25,0))</f>
        <v>1</v>
      </c>
      <c r="G4" s="21" t="n">
        <f aca="false">IF(F4,INDEX('GSTR-2B'!$G$2:$G$25,MATCH(B4,'GSTR-2B'!$B$2:$B$25,0)),0)</f>
        <v>205500</v>
      </c>
      <c r="H4" s="21" t="n">
        <f aca="false">IF(F4,INDEX('GSTR-2B'!$K$2:$K$25,MATCH(B4,'GSTR-2B'!$B$2:$B$25,0)),0)</f>
        <v>36990</v>
      </c>
      <c r="I4" s="36" t="n">
        <f aca="false">E4-H4</f>
        <v>-450</v>
      </c>
      <c r="J4" s="37" t="str">
        <f aca="false">IF(F4=FALSE(),"Missing in 2B",IF(I4&lt;&gt;0,"Amount Mismatch","Matched"))</f>
        <v>Amount Mismatch</v>
      </c>
    </row>
    <row r="5" customFormat="false" ht="15" hidden="false" customHeight="false" outlineLevel="0" collapsed="false">
      <c r="A5" s="32" t="n">
        <v>4</v>
      </c>
      <c r="B5" s="33" t="str">
        <f aca="false">'Purchase Register'!B5</f>
        <v>INV-1004</v>
      </c>
      <c r="C5" s="33" t="str">
        <f aca="false">'Purchase Register'!C5</f>
        <v>Karnataka Packaging Co</v>
      </c>
      <c r="D5" s="34" t="n">
        <f aca="false">'Purchase Register'!G5</f>
        <v>204000</v>
      </c>
      <c r="E5" s="34" t="n">
        <f aca="false">'Purchase Register'!K5</f>
        <v>36720</v>
      </c>
      <c r="F5" s="35" t="b">
        <f aca="false">ISNUMBER(MATCH(B5,'GSTR-2B'!$B$2:$B$25,0))</f>
        <v>1</v>
      </c>
      <c r="G5" s="21" t="n">
        <f aca="false">IF(F5,INDEX('GSTR-2B'!$G$2:$G$25,MATCH(B5,'GSTR-2B'!$B$2:$B$25,0)),0)</f>
        <v>204000</v>
      </c>
      <c r="H5" s="21" t="n">
        <f aca="false">IF(F5,INDEX('GSTR-2B'!$K$2:$K$25,MATCH(B5,'GSTR-2B'!$B$2:$B$25,0)),0)</f>
        <v>36720</v>
      </c>
      <c r="I5" s="36" t="n">
        <f aca="false">E5-H5</f>
        <v>0</v>
      </c>
      <c r="J5" s="37" t="str">
        <f aca="false">IF(F5=FALSE(),"Missing in 2B",IF(I5&lt;&gt;0,"Amount Mismatch","Matched"))</f>
        <v>Matched</v>
      </c>
    </row>
    <row r="6" customFormat="false" ht="15" hidden="false" customHeight="false" outlineLevel="0" collapsed="false">
      <c r="A6" s="32" t="n">
        <v>5</v>
      </c>
      <c r="B6" s="33" t="str">
        <f aca="false">'Purchase Register'!B6</f>
        <v>INV-1005</v>
      </c>
      <c r="C6" s="33" t="str">
        <f aca="false">'Purchase Register'!C6</f>
        <v>Sunrise Textiles</v>
      </c>
      <c r="D6" s="34" t="n">
        <f aca="false">'Purchase Register'!G6</f>
        <v>123000</v>
      </c>
      <c r="E6" s="34" t="n">
        <f aca="false">'Purchase Register'!K6</f>
        <v>22140</v>
      </c>
      <c r="F6" s="35" t="b">
        <f aca="false">ISNUMBER(MATCH(B6,'GSTR-2B'!$B$2:$B$25,0))</f>
        <v>0</v>
      </c>
      <c r="G6" s="21" t="n">
        <f aca="false">IF(F6,INDEX('GSTR-2B'!$G$2:$G$25,MATCH(B6,'GSTR-2B'!$B$2:$B$25,0)),0)</f>
        <v>0</v>
      </c>
      <c r="H6" s="21" t="n">
        <f aca="false">IF(F6,INDEX('GSTR-2B'!$K$2:$K$25,MATCH(B6,'GSTR-2B'!$B$2:$B$25,0)),0)</f>
        <v>0</v>
      </c>
      <c r="I6" s="36" t="n">
        <f aca="false">E6-H6</f>
        <v>22140</v>
      </c>
      <c r="J6" s="37" t="str">
        <f aca="false">IF(F6=FALSE(),"Missing in 2B",IF(I6&lt;&gt;0,"Amount Mismatch","Matched"))</f>
        <v>Missing in 2B</v>
      </c>
    </row>
    <row r="7" customFormat="false" ht="15" hidden="false" customHeight="false" outlineLevel="0" collapsed="false">
      <c r="A7" s="32" t="n">
        <v>6</v>
      </c>
      <c r="B7" s="33" t="str">
        <f aca="false">'Purchase Register'!B7</f>
        <v>INV-1006</v>
      </c>
      <c r="C7" s="33" t="str">
        <f aca="false">'Purchase Register'!C7</f>
        <v>Delhi Electronics Pvt Ltd</v>
      </c>
      <c r="D7" s="34" t="n">
        <f aca="false">'Purchase Register'!G7</f>
        <v>38250</v>
      </c>
      <c r="E7" s="34" t="n">
        <f aca="false">'Purchase Register'!K7</f>
        <v>6885</v>
      </c>
      <c r="F7" s="35" t="b">
        <f aca="false">ISNUMBER(MATCH(B7,'GSTR-2B'!$B$2:$B$25,0))</f>
        <v>1</v>
      </c>
      <c r="G7" s="21" t="n">
        <f aca="false">IF(F7,INDEX('GSTR-2B'!$G$2:$G$25,MATCH(B7,'GSTR-2B'!$B$2:$B$25,0)),0)</f>
        <v>38250</v>
      </c>
      <c r="H7" s="21" t="n">
        <f aca="false">IF(F7,INDEX('GSTR-2B'!$K$2:$K$25,MATCH(B7,'GSTR-2B'!$B$2:$B$25,0)),0)</f>
        <v>6885</v>
      </c>
      <c r="I7" s="36" t="n">
        <f aca="false">E7-H7</f>
        <v>0</v>
      </c>
      <c r="J7" s="37" t="str">
        <f aca="false">IF(F7=FALSE(),"Missing in 2B",IF(I7&lt;&gt;0,"Amount Mismatch","Matched"))</f>
        <v>Matched</v>
      </c>
    </row>
    <row r="8" customFormat="false" ht="15" hidden="false" customHeight="false" outlineLevel="0" collapsed="false">
      <c r="A8" s="32" t="n">
        <v>7</v>
      </c>
      <c r="B8" s="33" t="str">
        <f aca="false">'Purchase Register'!B8</f>
        <v>INV-1007</v>
      </c>
      <c r="C8" s="33" t="str">
        <f aca="false">'Purchase Register'!C8</f>
        <v>Mumbai Chemicals Ltd</v>
      </c>
      <c r="D8" s="34" t="n">
        <f aca="false">'Purchase Register'!G8</f>
        <v>144000</v>
      </c>
      <c r="E8" s="34" t="n">
        <f aca="false">'Purchase Register'!K8</f>
        <v>25920</v>
      </c>
      <c r="F8" s="35" t="b">
        <f aca="false">ISNUMBER(MATCH(B8,'GSTR-2B'!$B$2:$B$25,0))</f>
        <v>1</v>
      </c>
      <c r="G8" s="21" t="n">
        <f aca="false">IF(F8,INDEX('GSTR-2B'!$G$2:$G$25,MATCH(B8,'GSTR-2B'!$B$2:$B$25,0)),0)</f>
        <v>144000</v>
      </c>
      <c r="H8" s="21" t="n">
        <f aca="false">IF(F8,INDEX('GSTR-2B'!$K$2:$K$25,MATCH(B8,'GSTR-2B'!$B$2:$B$25,0)),0)</f>
        <v>25920</v>
      </c>
      <c r="I8" s="36" t="n">
        <f aca="false">E8-H8</f>
        <v>0</v>
      </c>
      <c r="J8" s="37" t="str">
        <f aca="false">IF(F8=FALSE(),"Missing in 2B",IF(I8&lt;&gt;0,"Amount Mismatch","Matched"))</f>
        <v>Matched</v>
      </c>
    </row>
    <row r="9" customFormat="false" ht="15" hidden="false" customHeight="false" outlineLevel="0" collapsed="false">
      <c r="A9" s="32" t="n">
        <v>8</v>
      </c>
      <c r="B9" s="33" t="str">
        <f aca="false">'Purchase Register'!B9</f>
        <v>INV-1008</v>
      </c>
      <c r="C9" s="33" t="str">
        <f aca="false">'Purchase Register'!C9</f>
        <v>Chennai Auto Parts</v>
      </c>
      <c r="D9" s="34" t="n">
        <f aca="false">'Purchase Register'!G9</f>
        <v>65750</v>
      </c>
      <c r="E9" s="34" t="n">
        <f aca="false">'Purchase Register'!K9</f>
        <v>11835</v>
      </c>
      <c r="F9" s="35" t="b">
        <f aca="false">ISNUMBER(MATCH(B9,'GSTR-2B'!$B$2:$B$25,0))</f>
        <v>1</v>
      </c>
      <c r="G9" s="21" t="n">
        <f aca="false">IF(F9,INDEX('GSTR-2B'!$G$2:$G$25,MATCH(B9,'GSTR-2B'!$B$2:$B$25,0)),0)</f>
        <v>65750</v>
      </c>
      <c r="H9" s="21" t="n">
        <f aca="false">IF(F9,INDEX('GSTR-2B'!$K$2:$K$25,MATCH(B9,'GSTR-2B'!$B$2:$B$25,0)),0)</f>
        <v>11835</v>
      </c>
      <c r="I9" s="36" t="n">
        <f aca="false">E9-H9</f>
        <v>0</v>
      </c>
      <c r="J9" s="37" t="str">
        <f aca="false">IF(F9=FALSE(),"Missing in 2B",IF(I9&lt;&gt;0,"Amount Mismatch","Matched"))</f>
        <v>Matched</v>
      </c>
    </row>
    <row r="10" customFormat="false" ht="15" hidden="false" customHeight="false" outlineLevel="0" collapsed="false">
      <c r="A10" s="32" t="n">
        <v>9</v>
      </c>
      <c r="B10" s="33" t="str">
        <f aca="false">'Purchase Register'!B10</f>
        <v>INV-1009</v>
      </c>
      <c r="C10" s="33" t="str">
        <f aca="false">'Purchase Register'!C10</f>
        <v>Hyderabad Pharma Supplies</v>
      </c>
      <c r="D10" s="34" t="n">
        <f aca="false">'Purchase Register'!G10</f>
        <v>129500</v>
      </c>
      <c r="E10" s="34" t="n">
        <f aca="false">'Purchase Register'!K10</f>
        <v>23310</v>
      </c>
      <c r="F10" s="35" t="b">
        <f aca="false">ISNUMBER(MATCH(B10,'GSTR-2B'!$B$2:$B$25,0))</f>
        <v>1</v>
      </c>
      <c r="G10" s="21" t="n">
        <f aca="false">IF(F10,INDEX('GSTR-2B'!$G$2:$G$25,MATCH(B10,'GSTR-2B'!$B$2:$B$25,0)),0)</f>
        <v>129500</v>
      </c>
      <c r="H10" s="21" t="n">
        <f aca="false">IF(F10,INDEX('GSTR-2B'!$K$2:$K$25,MATCH(B10,'GSTR-2B'!$B$2:$B$25,0)),0)</f>
        <v>23310</v>
      </c>
      <c r="I10" s="36" t="n">
        <f aca="false">E10-H10</f>
        <v>0</v>
      </c>
      <c r="J10" s="37" t="str">
        <f aca="false">IF(F10=FALSE(),"Missing in 2B",IF(I10&lt;&gt;0,"Amount Mismatch","Matched"))</f>
        <v>Matched</v>
      </c>
    </row>
    <row r="11" customFormat="false" ht="15" hidden="false" customHeight="false" outlineLevel="0" collapsed="false">
      <c r="A11" s="32" t="n">
        <v>10</v>
      </c>
      <c r="B11" s="33" t="str">
        <f aca="false">'Purchase Register'!B11</f>
        <v>INV-1010</v>
      </c>
      <c r="C11" s="33" t="str">
        <f aca="false">'Purchase Register'!C11</f>
        <v>Kolkata Jute Mills</v>
      </c>
      <c r="D11" s="34" t="n">
        <f aca="false">'Purchase Register'!G11</f>
        <v>209250</v>
      </c>
      <c r="E11" s="34" t="n">
        <f aca="false">'Purchase Register'!K11</f>
        <v>37665</v>
      </c>
      <c r="F11" s="35" t="b">
        <f aca="false">ISNUMBER(MATCH(B11,'GSTR-2B'!$B$2:$B$25,0))</f>
        <v>1</v>
      </c>
      <c r="G11" s="21" t="n">
        <f aca="false">IF(F11,INDEX('GSTR-2B'!$G$2:$G$25,MATCH(B11,'GSTR-2B'!$B$2:$B$25,0)),0)</f>
        <v>209250</v>
      </c>
      <c r="H11" s="21" t="n">
        <f aca="false">IF(F11,INDEX('GSTR-2B'!$K$2:$K$25,MATCH(B11,'GSTR-2B'!$B$2:$B$25,0)),0)</f>
        <v>37665</v>
      </c>
      <c r="I11" s="36" t="n">
        <f aca="false">E11-H11</f>
        <v>0</v>
      </c>
      <c r="J11" s="37" t="str">
        <f aca="false">IF(F11=FALSE(),"Missing in 2B",IF(I11&lt;&gt;0,"Amount Mismatch","Matched"))</f>
        <v>Matched</v>
      </c>
    </row>
    <row r="12" customFormat="false" ht="15" hidden="false" customHeight="false" outlineLevel="0" collapsed="false">
      <c r="A12" s="32" t="n">
        <v>11</v>
      </c>
      <c r="B12" s="33" t="str">
        <f aca="false">'Purchase Register'!B12</f>
        <v>INV-1011</v>
      </c>
      <c r="C12" s="33" t="str">
        <f aca="false">'Purchase Register'!C12</f>
        <v>Shree Enterprises</v>
      </c>
      <c r="D12" s="34" t="n">
        <f aca="false">'Purchase Register'!G12</f>
        <v>123500</v>
      </c>
      <c r="E12" s="34" t="n">
        <f aca="false">'Purchase Register'!K12</f>
        <v>22230</v>
      </c>
      <c r="F12" s="35" t="b">
        <f aca="false">ISNUMBER(MATCH(B12,'GSTR-2B'!$B$2:$B$25,0))</f>
        <v>1</v>
      </c>
      <c r="G12" s="21" t="n">
        <f aca="false">IF(F12,INDEX('GSTR-2B'!$G$2:$G$25,MATCH(B12,'GSTR-2B'!$B$2:$B$25,0)),0)</f>
        <v>123500</v>
      </c>
      <c r="H12" s="21" t="n">
        <f aca="false">IF(F12,INDEX('GSTR-2B'!$K$2:$K$25,MATCH(B12,'GSTR-2B'!$B$2:$B$25,0)),0)</f>
        <v>22230</v>
      </c>
      <c r="I12" s="36" t="n">
        <f aca="false">E12-H12</f>
        <v>0</v>
      </c>
      <c r="J12" s="37" t="str">
        <f aca="false">IF(F12=FALSE(),"Missing in 2B",IF(I12&lt;&gt;0,"Amount Mismatch","Matched"))</f>
        <v>Matched</v>
      </c>
    </row>
    <row r="13" customFormat="false" ht="15" hidden="false" customHeight="false" outlineLevel="0" collapsed="false">
      <c r="A13" s="32" t="n">
        <v>12</v>
      </c>
      <c r="B13" s="33" t="str">
        <f aca="false">'Purchase Register'!B13</f>
        <v>INV-1012</v>
      </c>
      <c r="C13" s="33" t="str">
        <f aca="false">'Purchase Register'!C13</f>
        <v>Om Traders</v>
      </c>
      <c r="D13" s="34" t="n">
        <f aca="false">'Purchase Register'!G13</f>
        <v>54250</v>
      </c>
      <c r="E13" s="34" t="n">
        <f aca="false">'Purchase Register'!K13</f>
        <v>9765</v>
      </c>
      <c r="F13" s="35" t="b">
        <f aca="false">ISNUMBER(MATCH(B13,'GSTR-2B'!$B$2:$B$25,0))</f>
        <v>1</v>
      </c>
      <c r="G13" s="21" t="n">
        <f aca="false">IF(F13,INDEX('GSTR-2B'!$G$2:$G$25,MATCH(B13,'GSTR-2B'!$B$2:$B$25,0)),0)</f>
        <v>54250</v>
      </c>
      <c r="H13" s="21" t="n">
        <f aca="false">IF(F13,INDEX('GSTR-2B'!$K$2:$K$25,MATCH(B13,'GSTR-2B'!$B$2:$B$25,0)),0)</f>
        <v>9765</v>
      </c>
      <c r="I13" s="36" t="n">
        <f aca="false">E13-H13</f>
        <v>0</v>
      </c>
      <c r="J13" s="37" t="str">
        <f aca="false">IF(F13=FALSE(),"Missing in 2B",IF(I13&lt;&gt;0,"Amount Mismatch","Matched"))</f>
        <v>Matched</v>
      </c>
    </row>
    <row r="14" customFormat="false" ht="15" hidden="false" customHeight="false" outlineLevel="0" collapsed="false">
      <c r="A14" s="32" t="n">
        <v>13</v>
      </c>
      <c r="B14" s="33" t="str">
        <f aca="false">'Purchase Register'!B14</f>
        <v>INV-1013</v>
      </c>
      <c r="C14" s="33" t="str">
        <f aca="false">'Purchase Register'!C14</f>
        <v>Bangalore Steel Corp</v>
      </c>
      <c r="D14" s="34" t="n">
        <f aca="false">'Purchase Register'!G14</f>
        <v>41000</v>
      </c>
      <c r="E14" s="34" t="n">
        <f aca="false">'Purchase Register'!K14</f>
        <v>7380</v>
      </c>
      <c r="F14" s="35" t="b">
        <f aca="false">ISNUMBER(MATCH(B14,'GSTR-2B'!$B$2:$B$25,0))</f>
        <v>0</v>
      </c>
      <c r="G14" s="21" t="n">
        <f aca="false">IF(F14,INDEX('GSTR-2B'!$G$2:$G$25,MATCH(B14,'GSTR-2B'!$B$2:$B$25,0)),0)</f>
        <v>0</v>
      </c>
      <c r="H14" s="21" t="n">
        <f aca="false">IF(F14,INDEX('GSTR-2B'!$K$2:$K$25,MATCH(B14,'GSTR-2B'!$B$2:$B$25,0)),0)</f>
        <v>0</v>
      </c>
      <c r="I14" s="36" t="n">
        <f aca="false">E14-H14</f>
        <v>7380</v>
      </c>
      <c r="J14" s="37" t="str">
        <f aca="false">IF(F14=FALSE(),"Missing in 2B",IF(I14&lt;&gt;0,"Amount Mismatch","Matched"))</f>
        <v>Missing in 2B</v>
      </c>
    </row>
    <row r="15" customFormat="false" ht="15" hidden="false" customHeight="false" outlineLevel="0" collapsed="false">
      <c r="A15" s="32" t="n">
        <v>14</v>
      </c>
      <c r="B15" s="33" t="str">
        <f aca="false">'Purchase Register'!B15</f>
        <v>INV-1014</v>
      </c>
      <c r="C15" s="33" t="str">
        <f aca="false">'Purchase Register'!C15</f>
        <v>Karnataka Packaging Co</v>
      </c>
      <c r="D15" s="34" t="n">
        <f aca="false">'Purchase Register'!G15</f>
        <v>39500</v>
      </c>
      <c r="E15" s="34" t="n">
        <f aca="false">'Purchase Register'!K15</f>
        <v>7110</v>
      </c>
      <c r="F15" s="35" t="b">
        <f aca="false">ISNUMBER(MATCH(B15,'GSTR-2B'!$B$2:$B$25,0))</f>
        <v>1</v>
      </c>
      <c r="G15" s="21" t="n">
        <f aca="false">IF(F15,INDEX('GSTR-2B'!$G$2:$G$25,MATCH(B15,'GSTR-2B'!$B$2:$B$25,0)),0)</f>
        <v>39500</v>
      </c>
      <c r="H15" s="21" t="n">
        <f aca="false">IF(F15,INDEX('GSTR-2B'!$K$2:$K$25,MATCH(B15,'GSTR-2B'!$B$2:$B$25,0)),0)</f>
        <v>7110</v>
      </c>
      <c r="I15" s="36" t="n">
        <f aca="false">E15-H15</f>
        <v>0</v>
      </c>
      <c r="J15" s="37" t="str">
        <f aca="false">IF(F15=FALSE(),"Missing in 2B",IF(I15&lt;&gt;0,"Amount Mismatch","Matched"))</f>
        <v>Matched</v>
      </c>
    </row>
    <row r="16" customFormat="false" ht="15" hidden="false" customHeight="false" outlineLevel="0" collapsed="false">
      <c r="A16" s="32" t="n">
        <v>15</v>
      </c>
      <c r="B16" s="33" t="str">
        <f aca="false">'Purchase Register'!B16</f>
        <v>INV-1015</v>
      </c>
      <c r="C16" s="33" t="str">
        <f aca="false">'Purchase Register'!C16</f>
        <v>Sunrise Textiles</v>
      </c>
      <c r="D16" s="34" t="n">
        <f aca="false">'Purchase Register'!G16</f>
        <v>169500</v>
      </c>
      <c r="E16" s="34" t="n">
        <f aca="false">'Purchase Register'!K16</f>
        <v>30510</v>
      </c>
      <c r="F16" s="35" t="b">
        <f aca="false">ISNUMBER(MATCH(B16,'GSTR-2B'!$B$2:$B$25,0))</f>
        <v>1</v>
      </c>
      <c r="G16" s="21" t="n">
        <f aca="false">IF(F16,INDEX('GSTR-2B'!$G$2:$G$25,MATCH(B16,'GSTR-2B'!$B$2:$B$25,0)),0)</f>
        <v>169500</v>
      </c>
      <c r="H16" s="21" t="n">
        <f aca="false">IF(F16,INDEX('GSTR-2B'!$K$2:$K$25,MATCH(B16,'GSTR-2B'!$B$2:$B$25,0)),0)</f>
        <v>30510</v>
      </c>
      <c r="I16" s="36" t="n">
        <f aca="false">E16-H16</f>
        <v>0</v>
      </c>
      <c r="J16" s="37" t="str">
        <f aca="false">IF(F16=FALSE(),"Missing in 2B",IF(I16&lt;&gt;0,"Amount Mismatch","Matched"))</f>
        <v>Matched</v>
      </c>
    </row>
    <row r="17" customFormat="false" ht="15" hidden="false" customHeight="false" outlineLevel="0" collapsed="false">
      <c r="A17" s="32" t="n">
        <v>16</v>
      </c>
      <c r="B17" s="33" t="str">
        <f aca="false">'Purchase Register'!B17</f>
        <v>INV-1016</v>
      </c>
      <c r="C17" s="33" t="str">
        <f aca="false">'Purchase Register'!C17</f>
        <v>Delhi Electronics Pvt Ltd</v>
      </c>
      <c r="D17" s="34" t="n">
        <f aca="false">'Purchase Register'!G17</f>
        <v>201750</v>
      </c>
      <c r="E17" s="34" t="n">
        <f aca="false">'Purchase Register'!K17</f>
        <v>36315</v>
      </c>
      <c r="F17" s="35" t="b">
        <f aca="false">ISNUMBER(MATCH(B17,'GSTR-2B'!$B$2:$B$25,0))</f>
        <v>1</v>
      </c>
      <c r="G17" s="21" t="n">
        <f aca="false">IF(F17,INDEX('GSTR-2B'!$G$2:$G$25,MATCH(B17,'GSTR-2B'!$B$2:$B$25,0)),0)</f>
        <v>201750</v>
      </c>
      <c r="H17" s="21" t="n">
        <f aca="false">IF(F17,INDEX('GSTR-2B'!$K$2:$K$25,MATCH(B17,'GSTR-2B'!$B$2:$B$25,0)),0)</f>
        <v>36315</v>
      </c>
      <c r="I17" s="36" t="n">
        <f aca="false">E17-H17</f>
        <v>0</v>
      </c>
      <c r="J17" s="37" t="str">
        <f aca="false">IF(F17=FALSE(),"Missing in 2B",IF(I17&lt;&gt;0,"Amount Mismatch","Matched"))</f>
        <v>Matched</v>
      </c>
    </row>
    <row r="18" customFormat="false" ht="15" hidden="false" customHeight="false" outlineLevel="0" collapsed="false">
      <c r="A18" s="32" t="n">
        <v>17</v>
      </c>
      <c r="B18" s="33" t="str">
        <f aca="false">'Purchase Register'!B18</f>
        <v>INV-1017</v>
      </c>
      <c r="C18" s="33" t="str">
        <f aca="false">'Purchase Register'!C18</f>
        <v>Mumbai Chemicals Ltd</v>
      </c>
      <c r="D18" s="34" t="n">
        <f aca="false">'Purchase Register'!G18</f>
        <v>46750</v>
      </c>
      <c r="E18" s="34" t="n">
        <f aca="false">'Purchase Register'!K18</f>
        <v>8415</v>
      </c>
      <c r="F18" s="35" t="b">
        <f aca="false">ISNUMBER(MATCH(B18,'GSTR-2B'!$B$2:$B$25,0))</f>
        <v>1</v>
      </c>
      <c r="G18" s="21" t="n">
        <f aca="false">IF(F18,INDEX('GSTR-2B'!$G$2:$G$25,MATCH(B18,'GSTR-2B'!$B$2:$B$25,0)),0)</f>
        <v>46750</v>
      </c>
      <c r="H18" s="21" t="n">
        <f aca="false">IF(F18,INDEX('GSTR-2B'!$K$2:$K$25,MATCH(B18,'GSTR-2B'!$B$2:$B$25,0)),0)</f>
        <v>8415</v>
      </c>
      <c r="I18" s="36" t="n">
        <f aca="false">E18-H18</f>
        <v>0</v>
      </c>
      <c r="J18" s="37" t="str">
        <f aca="false">IF(F18=FALSE(),"Missing in 2B",IF(I18&lt;&gt;0,"Amount Mismatch","Matched"))</f>
        <v>Matched</v>
      </c>
    </row>
    <row r="19" customFormat="false" ht="15" hidden="false" customHeight="false" outlineLevel="0" collapsed="false">
      <c r="A19" s="32" t="n">
        <v>18</v>
      </c>
      <c r="B19" s="33" t="str">
        <f aca="false">'Purchase Register'!B19</f>
        <v>INV-1018</v>
      </c>
      <c r="C19" s="33" t="str">
        <f aca="false">'Purchase Register'!C19</f>
        <v>Chennai Auto Parts</v>
      </c>
      <c r="D19" s="34" t="n">
        <f aca="false">'Purchase Register'!G19</f>
        <v>156500</v>
      </c>
      <c r="E19" s="34" t="n">
        <f aca="false">'Purchase Register'!K19</f>
        <v>28170</v>
      </c>
      <c r="F19" s="35" t="b">
        <f aca="false">ISNUMBER(MATCH(B19,'GSTR-2B'!$B$2:$B$25,0))</f>
        <v>1</v>
      </c>
      <c r="G19" s="21" t="n">
        <f aca="false">IF(F19,INDEX('GSTR-2B'!$G$2:$G$25,MATCH(B19,'GSTR-2B'!$B$2:$B$25,0)),0)</f>
        <v>154700</v>
      </c>
      <c r="H19" s="21" t="n">
        <f aca="false">IF(F19,INDEX('GSTR-2B'!$K$2:$K$25,MATCH(B19,'GSTR-2B'!$B$2:$B$25,0)),0)</f>
        <v>27846</v>
      </c>
      <c r="I19" s="36" t="n">
        <f aca="false">E19-H19</f>
        <v>324</v>
      </c>
      <c r="J19" s="37" t="str">
        <f aca="false">IF(F19=FALSE(),"Missing in 2B",IF(I19&lt;&gt;0,"Amount Mismatch","Matched"))</f>
        <v>Amount Mismatch</v>
      </c>
    </row>
    <row r="20" customFormat="false" ht="15" hidden="false" customHeight="false" outlineLevel="0" collapsed="false">
      <c r="A20" s="32" t="n">
        <v>19</v>
      </c>
      <c r="B20" s="33" t="str">
        <f aca="false">'Purchase Register'!B20</f>
        <v>INV-1019</v>
      </c>
      <c r="C20" s="33" t="str">
        <f aca="false">'Purchase Register'!C20</f>
        <v>Hyderabad Pharma Supplies</v>
      </c>
      <c r="D20" s="34" t="n">
        <f aca="false">'Purchase Register'!G20</f>
        <v>173500</v>
      </c>
      <c r="E20" s="34" t="n">
        <f aca="false">'Purchase Register'!K20</f>
        <v>31230</v>
      </c>
      <c r="F20" s="35" t="b">
        <f aca="false">ISNUMBER(MATCH(B20,'GSTR-2B'!$B$2:$B$25,0))</f>
        <v>1</v>
      </c>
      <c r="G20" s="21" t="n">
        <f aca="false">IF(F20,INDEX('GSTR-2B'!$G$2:$G$25,MATCH(B20,'GSTR-2B'!$B$2:$B$25,0)),0)</f>
        <v>173500</v>
      </c>
      <c r="H20" s="21" t="n">
        <f aca="false">IF(F20,INDEX('GSTR-2B'!$K$2:$K$25,MATCH(B20,'GSTR-2B'!$B$2:$B$25,0)),0)</f>
        <v>31230</v>
      </c>
      <c r="I20" s="36" t="n">
        <f aca="false">E20-H20</f>
        <v>0</v>
      </c>
      <c r="J20" s="37" t="str">
        <f aca="false">IF(F20=FALSE(),"Missing in 2B",IF(I20&lt;&gt;0,"Amount Mismatch","Matched"))</f>
        <v>Matched</v>
      </c>
    </row>
    <row r="21" customFormat="false" ht="15" hidden="false" customHeight="false" outlineLevel="0" collapsed="false">
      <c r="A21" s="32" t="n">
        <v>20</v>
      </c>
      <c r="B21" s="33" t="str">
        <f aca="false">'Purchase Register'!B21</f>
        <v>INV-1020</v>
      </c>
      <c r="C21" s="33" t="str">
        <f aca="false">'Purchase Register'!C21</f>
        <v>Kolkata Jute Mills</v>
      </c>
      <c r="D21" s="34" t="n">
        <f aca="false">'Purchase Register'!G21</f>
        <v>64000</v>
      </c>
      <c r="E21" s="34" t="n">
        <f aca="false">'Purchase Register'!K21</f>
        <v>11520</v>
      </c>
      <c r="F21" s="35" t="b">
        <f aca="false">ISNUMBER(MATCH(B21,'GSTR-2B'!$B$2:$B$25,0))</f>
        <v>1</v>
      </c>
      <c r="G21" s="21" t="n">
        <f aca="false">IF(F21,INDEX('GSTR-2B'!$G$2:$G$25,MATCH(B21,'GSTR-2B'!$B$2:$B$25,0)),0)</f>
        <v>64000</v>
      </c>
      <c r="H21" s="21" t="n">
        <f aca="false">IF(F21,INDEX('GSTR-2B'!$K$2:$K$25,MATCH(B21,'GSTR-2B'!$B$2:$B$25,0)),0)</f>
        <v>11520</v>
      </c>
      <c r="I21" s="36" t="n">
        <f aca="false">E21-H21</f>
        <v>0</v>
      </c>
      <c r="J21" s="37" t="str">
        <f aca="false">IF(F21=FALSE(),"Missing in 2B",IF(I21&lt;&gt;0,"Amount Mismatch","Matched"))</f>
        <v>Matched</v>
      </c>
    </row>
    <row r="22" customFormat="false" ht="15" hidden="false" customHeight="false" outlineLevel="0" collapsed="false">
      <c r="A22" s="32" t="n">
        <v>21</v>
      </c>
      <c r="B22" s="33" t="str">
        <f aca="false">'Purchase Register'!B22</f>
        <v>INV-1021</v>
      </c>
      <c r="C22" s="33" t="str">
        <f aca="false">'Purchase Register'!C22</f>
        <v>Shree Enterprises</v>
      </c>
      <c r="D22" s="34" t="n">
        <f aca="false">'Purchase Register'!G22</f>
        <v>184250</v>
      </c>
      <c r="E22" s="34" t="n">
        <f aca="false">'Purchase Register'!K22</f>
        <v>33165</v>
      </c>
      <c r="F22" s="35" t="b">
        <f aca="false">ISNUMBER(MATCH(B22,'GSTR-2B'!$B$2:$B$25,0))</f>
        <v>0</v>
      </c>
      <c r="G22" s="21" t="n">
        <f aca="false">IF(F22,INDEX('GSTR-2B'!$G$2:$G$25,MATCH(B22,'GSTR-2B'!$B$2:$B$25,0)),0)</f>
        <v>0</v>
      </c>
      <c r="H22" s="21" t="n">
        <f aca="false">IF(F22,INDEX('GSTR-2B'!$K$2:$K$25,MATCH(B22,'GSTR-2B'!$B$2:$B$25,0)),0)</f>
        <v>0</v>
      </c>
      <c r="I22" s="36" t="n">
        <f aca="false">E22-H22</f>
        <v>33165</v>
      </c>
      <c r="J22" s="37" t="str">
        <f aca="false">IF(F22=FALSE(),"Missing in 2B",IF(I22&lt;&gt;0,"Amount Mismatch","Matched"))</f>
        <v>Missing in 2B</v>
      </c>
    </row>
    <row r="23" customFormat="false" ht="15" hidden="false" customHeight="false" outlineLevel="0" collapsed="false">
      <c r="A23" s="32" t="n">
        <v>22</v>
      </c>
      <c r="B23" s="33" t="str">
        <f aca="false">'Purchase Register'!B23</f>
        <v>INV-1022</v>
      </c>
      <c r="C23" s="33" t="str">
        <f aca="false">'Purchase Register'!C23</f>
        <v>Om Traders</v>
      </c>
      <c r="D23" s="34" t="n">
        <f aca="false">'Purchase Register'!G23</f>
        <v>35250</v>
      </c>
      <c r="E23" s="34" t="n">
        <f aca="false">'Purchase Register'!K23</f>
        <v>6345</v>
      </c>
      <c r="F23" s="35" t="b">
        <f aca="false">ISNUMBER(MATCH(B23,'GSTR-2B'!$B$2:$B$25,0))</f>
        <v>1</v>
      </c>
      <c r="G23" s="21" t="n">
        <f aca="false">IF(F23,INDEX('GSTR-2B'!$G$2:$G$25,MATCH(B23,'GSTR-2B'!$B$2:$B$25,0)),0)</f>
        <v>35250</v>
      </c>
      <c r="H23" s="21" t="n">
        <f aca="false">IF(F23,INDEX('GSTR-2B'!$K$2:$K$25,MATCH(B23,'GSTR-2B'!$B$2:$B$25,0)),0)</f>
        <v>6345</v>
      </c>
      <c r="I23" s="36" t="n">
        <f aca="false">E23-H23</f>
        <v>0</v>
      </c>
      <c r="J23" s="37" t="str">
        <f aca="false">IF(F23=FALSE(),"Missing in 2B",IF(I23&lt;&gt;0,"Amount Mismatch","Matched"))</f>
        <v>Matched</v>
      </c>
    </row>
    <row r="24" customFormat="false" ht="15" hidden="false" customHeight="false" outlineLevel="0" collapsed="false">
      <c r="A24" s="32" t="n">
        <v>23</v>
      </c>
      <c r="B24" s="33" t="str">
        <f aca="false">'Purchase Register'!B24</f>
        <v>INV-1023</v>
      </c>
      <c r="C24" s="33" t="str">
        <f aca="false">'Purchase Register'!C24</f>
        <v>Bangalore Steel Corp</v>
      </c>
      <c r="D24" s="34" t="n">
        <f aca="false">'Purchase Register'!G24</f>
        <v>112500</v>
      </c>
      <c r="E24" s="34" t="n">
        <f aca="false">'Purchase Register'!K24</f>
        <v>20250</v>
      </c>
      <c r="F24" s="35" t="b">
        <f aca="false">ISNUMBER(MATCH(B24,'GSTR-2B'!$B$2:$B$25,0))</f>
        <v>1</v>
      </c>
      <c r="G24" s="21" t="n">
        <f aca="false">IF(F24,INDEX('GSTR-2B'!$G$2:$G$25,MATCH(B24,'GSTR-2B'!$B$2:$B$25,0)),0)</f>
        <v>112500</v>
      </c>
      <c r="H24" s="21" t="n">
        <f aca="false">IF(F24,INDEX('GSTR-2B'!$K$2:$K$25,MATCH(B24,'GSTR-2B'!$B$2:$B$25,0)),0)</f>
        <v>20250</v>
      </c>
      <c r="I24" s="36" t="n">
        <f aca="false">E24-H24</f>
        <v>0</v>
      </c>
      <c r="J24" s="37" t="str">
        <f aca="false">IF(F24=FALSE(),"Missing in 2B",IF(I24&lt;&gt;0,"Amount Mismatch","Matched"))</f>
        <v>Matched</v>
      </c>
    </row>
    <row r="25" customFormat="false" ht="15" hidden="false" customHeight="false" outlineLevel="0" collapsed="false">
      <c r="A25" s="32" t="n">
        <v>24</v>
      </c>
      <c r="B25" s="33" t="str">
        <f aca="false">'Purchase Register'!B25</f>
        <v>INV-1024</v>
      </c>
      <c r="C25" s="33" t="str">
        <f aca="false">'Purchase Register'!C25</f>
        <v>Karnataka Packaging Co</v>
      </c>
      <c r="D25" s="34" t="n">
        <f aca="false">'Purchase Register'!G25</f>
        <v>177500</v>
      </c>
      <c r="E25" s="34" t="n">
        <f aca="false">'Purchase Register'!K25</f>
        <v>31950</v>
      </c>
      <c r="F25" s="35" t="b">
        <f aca="false">ISNUMBER(MATCH(B25,'GSTR-2B'!$B$2:$B$25,0))</f>
        <v>1</v>
      </c>
      <c r="G25" s="21" t="n">
        <f aca="false">IF(F25,INDEX('GSTR-2B'!$G$2:$G$25,MATCH(B25,'GSTR-2B'!$B$2:$B$25,0)),0)</f>
        <v>177500</v>
      </c>
      <c r="H25" s="21" t="n">
        <f aca="false">IF(F25,INDEX('GSTR-2B'!$K$2:$K$25,MATCH(B25,'GSTR-2B'!$B$2:$B$25,0)),0)</f>
        <v>31950</v>
      </c>
      <c r="I25" s="36" t="n">
        <f aca="false">E25-H25</f>
        <v>0</v>
      </c>
      <c r="J25" s="37" t="str">
        <f aca="false">IF(F25=FALSE(),"Missing in 2B",IF(I25&lt;&gt;0,"Amount Mismatch","Matched"))</f>
        <v>Matched</v>
      </c>
    </row>
    <row r="26" customFormat="false" ht="15" hidden="false" customHeight="false" outlineLevel="0" collapsed="false">
      <c r="A26" s="32" t="n">
        <v>25</v>
      </c>
      <c r="B26" s="33" t="str">
        <f aca="false">'Purchase Register'!B26</f>
        <v>INV-1025</v>
      </c>
      <c r="C26" s="33" t="str">
        <f aca="false">'Purchase Register'!C26</f>
        <v>Sunrise Textiles</v>
      </c>
      <c r="D26" s="34" t="n">
        <f aca="false">'Purchase Register'!G26</f>
        <v>109500</v>
      </c>
      <c r="E26" s="34" t="n">
        <f aca="false">'Purchase Register'!K26</f>
        <v>19710</v>
      </c>
      <c r="F26" s="35" t="b">
        <f aca="false">ISNUMBER(MATCH(B26,'GSTR-2B'!$B$2:$B$25,0))</f>
        <v>1</v>
      </c>
      <c r="G26" s="21" t="n">
        <f aca="false">IF(F26,INDEX('GSTR-2B'!$G$2:$G$25,MATCH(B26,'GSTR-2B'!$B$2:$B$25,0)),0)</f>
        <v>109500</v>
      </c>
      <c r="H26" s="21" t="n">
        <f aca="false">IF(F26,INDEX('GSTR-2B'!$K$2:$K$25,MATCH(B26,'GSTR-2B'!$B$2:$B$25,0)),0)</f>
        <v>19710</v>
      </c>
      <c r="I26" s="36" t="n">
        <f aca="false">E26-H26</f>
        <v>0</v>
      </c>
      <c r="J26" s="37" t="str">
        <f aca="false">IF(F26=FALSE(),"Missing in 2B",IF(I26&lt;&gt;0,"Amount Mismatch","Matched"))</f>
        <v>Matched</v>
      </c>
    </row>
    <row r="28" customFormat="false" ht="27.75" hidden="false" customHeight="true" outlineLevel="0" collapsed="false">
      <c r="A28" s="38" t="s">
        <v>124</v>
      </c>
      <c r="B28" s="38"/>
      <c r="C28" s="38"/>
      <c r="D28" s="38"/>
      <c r="E28" s="38"/>
      <c r="F28" s="38"/>
      <c r="G28" s="38"/>
      <c r="H28" s="38"/>
      <c r="I28" s="38"/>
      <c r="J28" s="38"/>
    </row>
  </sheetData>
  <mergeCells count="1">
    <mergeCell ref="A28:J28"/>
  </mergeCells>
  <conditionalFormatting sqref="J2:J26">
    <cfRule type="cellIs" priority="2" operator="equal" aboveAverage="0" equalAverage="0" bottom="0" percent="0" rank="0" text="" dxfId="0">
      <formula>"Matched"</formula>
    </cfRule>
    <cfRule type="cellIs" priority="3" operator="equal" aboveAverage="0" equalAverage="0" bottom="0" percent="0" rank="0" text="" dxfId="1">
      <formula>"Missing in 2B"</formula>
    </cfRule>
    <cfRule type="cellIs" priority="4" operator="equal" aboveAverage="0" equalAverage="0" bottom="0" percent="0" rank="0" text="" dxfId="2">
      <formula>"Amount Mismatch"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2026-09-16T08:56:49Z</dcterms:created>
  <dc:creator>openpyxl</dc:creator>
  <dc:description/>
  <dc:language>en-US</dc:language>
  <cp:lastModifiedBy/>
  <dcterms:modified xsi:type="dcterms:W3CDTF">2026-09-16T08:56:51Z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